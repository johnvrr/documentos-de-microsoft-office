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cuments\kraken\offic\"/>
    </mc:Choice>
  </mc:AlternateContent>
  <xr:revisionPtr revIDLastSave="0" documentId="13_ncr:1_{45D7A36D-0A80-4E91-A87E-CE051CF3BCDC}" xr6:coauthVersionLast="47" xr6:coauthVersionMax="47" xr10:uidLastSave="{00000000-0000-0000-0000-000000000000}"/>
  <bookViews>
    <workbookView xWindow="-120" yWindow="-120" windowWidth="29040" windowHeight="15720" xr2:uid="{14226ABE-A5E2-497F-B7A9-199C2B2C3592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Hoja1!$F$1:$G$238</definedName>
    <definedName name="_xlnm._FilterDatabase" localSheetId="2" hidden="1">Hoja2!$A$1:$B$238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K61" i="3"/>
  <c r="K6" i="3"/>
  <c r="K21" i="3"/>
  <c r="K40" i="3"/>
  <c r="K33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" i="1"/>
  <c r="C236" i="1"/>
  <c r="C237" i="1"/>
  <c r="C238" i="1"/>
  <c r="C235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9" i="1"/>
  <c r="C9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2" i="1"/>
</calcChain>
</file>

<file path=xl/sharedStrings.xml><?xml version="1.0" encoding="utf-8"?>
<sst xmlns="http://schemas.openxmlformats.org/spreadsheetml/2006/main" count="1404" uniqueCount="742">
  <si>
    <t>169.254.29.113        18-3d-2d-4c-03-31     dinámico</t>
  </si>
  <si>
    <t xml:space="preserve">  192.168.3.1           08-3a-88-19-1f-97     dinámico</t>
  </si>
  <si>
    <t xml:space="preserve">  192.168.3.3           dc-4e-f4-2e-10-2a     dinámico</t>
  </si>
  <si>
    <t xml:space="preserve">  192.168.3.4           88-ae-dd-07-ba-1e     dinámico</t>
  </si>
  <si>
    <t xml:space="preserve">  192.168.3.5           b0-cc-fe-92-00-9a     dinámico</t>
  </si>
  <si>
    <t xml:space="preserve">  192.168.3.7           94-de-80-2f-37-ed     dinámico</t>
  </si>
  <si>
    <t xml:space="preserve">  192.168.3.8           1c-66-6d-92-99-89     dinámico</t>
  </si>
  <si>
    <t xml:space="preserve">  192.168.3.9           cc-28-aa-33-17-18     dinámico</t>
  </si>
  <si>
    <t xml:space="preserve">  192.168.3.10          38-60-77-8a-93-9e     dinámico</t>
  </si>
  <si>
    <t xml:space="preserve">  192.168.3.11          28-87-ba-42-53-fb     dinámico</t>
  </si>
  <si>
    <t xml:space="preserve">  192.168.3.12          dc-4e-f4-2d-fb-a8     dinámico</t>
  </si>
  <si>
    <t xml:space="preserve">  192.168.3.13          e0-d5-5e-57-c0-84     dinámico</t>
  </si>
  <si>
    <t xml:space="preserve">  192.168.3.14          dc-4e-f4-2e-42-26     dinámico</t>
  </si>
  <si>
    <t xml:space="preserve">  192.168.3.15          90-2b-34-13-f0-00     dinámico</t>
  </si>
  <si>
    <t xml:space="preserve">  192.168.3.16          18-3d-2d-4c-00-98     dinámico</t>
  </si>
  <si>
    <t xml:space="preserve">  192.168.3.17          00-71-c2-3e-7a-8f     dinámico</t>
  </si>
  <si>
    <t xml:space="preserve">  192.168.3.18          18-3d-2d-4c-00-f6     dinámico</t>
  </si>
  <si>
    <t xml:space="preserve">  192.168.3.19          74-fe-ce-6e-66-0b     dinámico</t>
  </si>
  <si>
    <t xml:space="preserve">  192.168.3.20          e4-11-5b-bc-c0-22     dinámico</t>
  </si>
  <si>
    <t xml:space="preserve">  192.168.3.21          1c-1b-0d-c8-87-d0     dinámico</t>
  </si>
  <si>
    <t xml:space="preserve">  192.168.3.22          cc-28-aa-33-06-e0     dinámico</t>
  </si>
  <si>
    <t xml:space="preserve">  192.168.3.23          00-e0-4d-a9-5c-e2     dinámico</t>
  </si>
  <si>
    <t xml:space="preserve">  192.168.3.25          18-3d-2d-4c-00-63     dinámico</t>
  </si>
  <si>
    <t xml:space="preserve">  192.168.3.26          9c-b6-54-bb-6f-94     dinámico</t>
  </si>
  <si>
    <t xml:space="preserve">  192.168.3.27          cc-28-aa-33-38-52     dinámico</t>
  </si>
  <si>
    <t xml:space="preserve">  192.168.3.28          00-e0-4c-68-0a-e0     dinámico</t>
  </si>
  <si>
    <t xml:space="preserve">  192.168.3.29          cc-28-aa-32-f0-42     dinámico</t>
  </si>
  <si>
    <t xml:space="preserve">  192.168.3.30          4c-cc-6a-7b-98-69     dinámico</t>
  </si>
  <si>
    <t xml:space="preserve">  192.168.3.31          40-8d-5c-80-c6-f2     dinámico</t>
  </si>
  <si>
    <t xml:space="preserve">  192.168.3.32          40-8d-5c-c0-24-8c     dinámico</t>
  </si>
  <si>
    <t xml:space="preserve">  192.168.3.33          d8-5e-d3-94-5e-07     dinámico</t>
  </si>
  <si>
    <t xml:space="preserve">  192.168.3.34          b0-7b-25-1d-36-5a     dinámico</t>
  </si>
  <si>
    <t xml:space="preserve">  192.168.3.35          40-8d-5c-c4-82-f0     dinámico</t>
  </si>
  <si>
    <t xml:space="preserve">  192.168.3.36          40-8d-5c-76-f1-ff     dinámico</t>
  </si>
  <si>
    <t xml:space="preserve">  192.168.3.37          00-25-ab-1b-6a-f5     dinámico</t>
  </si>
  <si>
    <t xml:space="preserve">  192.168.3.38          bc-5f-f4-c6-2e-2e     dinámico</t>
  </si>
  <si>
    <t xml:space="preserve">  192.168.3.39          e0-91-f5-f6-f1-87     dinámico</t>
  </si>
  <si>
    <t xml:space="preserve">  192.168.3.40          f4-b5-20-2f-33-7a     dinámico</t>
  </si>
  <si>
    <t xml:space="preserve">  192.168.3.41          d4-be-d9-bc-3e-81     dinámico</t>
  </si>
  <si>
    <t xml:space="preserve">  192.168.3.43          dc-c2-c9-5c-19-d5     dinámico</t>
  </si>
  <si>
    <t xml:space="preserve">  192.168.3.44          e0-69-95-07-52-af     dinámico</t>
  </si>
  <si>
    <t xml:space="preserve">  192.168.3.45          bc-5f-f4-c6-2d-98     dinámico</t>
  </si>
  <si>
    <t xml:space="preserve">  192.168.3.46          e8-9c-25-2a-5e-b5     dinámico</t>
  </si>
  <si>
    <t xml:space="preserve">  192.168.3.47          b0-7b-25-22-ca-89     dinámico</t>
  </si>
  <si>
    <t xml:space="preserve">  192.168.3.48          cc-28-aa-33-5d-8c     dinámico</t>
  </si>
  <si>
    <t xml:space="preserve">  192.168.3.50          a8-5e-45-31-22-2e     dinámico</t>
  </si>
  <si>
    <t xml:space="preserve">  192.168.3.51          40-8d-5c-60-00-11     dinámico</t>
  </si>
  <si>
    <t xml:space="preserve">  192.168.3.52          b0-7b-25-22-99-a1     dinámico</t>
  </si>
  <si>
    <t xml:space="preserve">  192.168.3.53          bc-5f-f4-a8-06-85     dinámico</t>
  </si>
  <si>
    <t xml:space="preserve">  192.168.3.54          40-8d-5c-80-c6-e3     dinámico</t>
  </si>
  <si>
    <t xml:space="preserve">  192.168.3.55          10-78-d2-8d-8a-cd     dinámico</t>
  </si>
  <si>
    <t xml:space="preserve">  192.168.3.56          e8-9c-25-a3-bd-f1     dinámico</t>
  </si>
  <si>
    <t xml:space="preserve">  192.168.3.57          dc-4e-f4-2d-d4-80     dinámico</t>
  </si>
  <si>
    <t xml:space="preserve">  192.168.3.58          cc-28-aa-33-0e-76     dinámico</t>
  </si>
  <si>
    <t xml:space="preserve">  192.168.3.59          40-8d-5c-dd-46-06     dinámico</t>
  </si>
  <si>
    <t xml:space="preserve">  192.168.3.60          d8-5e-d3-47-78-9d     dinámico</t>
  </si>
  <si>
    <t xml:space="preserve">  192.168.3.61          38-1a-52-ea-a2-68     dinámico</t>
  </si>
  <si>
    <t xml:space="preserve">  192.168.3.62          30-e1-71-3b-f0-98     dinámico</t>
  </si>
  <si>
    <t xml:space="preserve">  192.168.3.63          bc-5f-f4-c5-76-0d     dinámico</t>
  </si>
  <si>
    <t xml:space="preserve">  192.168.3.64          b0-7b-25-1f-b7-ab     dinámico</t>
  </si>
  <si>
    <t xml:space="preserve">  192.168.3.65          b0-7b-25-22-ca-19     dinámico</t>
  </si>
  <si>
    <t xml:space="preserve">  192.168.3.66          40-8d-5c-c4-7e-dd     dinámico</t>
  </si>
  <si>
    <t xml:space="preserve">  192.168.3.68          54-af-97-eb-e7-78     dinámico</t>
  </si>
  <si>
    <t xml:space="preserve">  192.168.3.70          00-21-97-34-35-1d     dinámico</t>
  </si>
  <si>
    <t xml:space="preserve">  192.168.3.72          cc-28-aa-33-5c-f5     dinámico</t>
  </si>
  <si>
    <t xml:space="preserve">  192.168.3.73          08-00-27-c6-4c-37     dinámico</t>
  </si>
  <si>
    <t xml:space="preserve">  192.168.3.74          26-e8-32-01-9b-2b     dinámico</t>
  </si>
  <si>
    <t xml:space="preserve">  192.168.3.76          00-25-ab-0f-98-1c     dinámico</t>
  </si>
  <si>
    <t xml:space="preserve">  192.168.3.78          14-eb-b6-cf-70-9f     dinámico</t>
  </si>
  <si>
    <t xml:space="preserve">  192.168.3.79          a4-d7-3c-ec-64-b6     dinámico</t>
  </si>
  <si>
    <t xml:space="preserve">  192.168.3.80          bc-5f-f4-a7-ed-2c     dinámico</t>
  </si>
  <si>
    <t xml:space="preserve">  192.168.3.81          cc-28-aa-32-ed-62     dinámico</t>
  </si>
  <si>
    <t xml:space="preserve">  192.168.3.82          18-3d-2d-4c-03-31     dinámico</t>
  </si>
  <si>
    <t xml:space="preserve">  192.168.3.83          34-9f-7b-cb-57-2a     dinámico</t>
  </si>
  <si>
    <t xml:space="preserve">  192.168.3.84          e0-d5-5e-07-d8-b7     dinámico</t>
  </si>
  <si>
    <t xml:space="preserve">  192.168.3.85          1c-1b-0d-59-7c-a4     dinámico</t>
  </si>
  <si>
    <t xml:space="preserve">  192.168.3.86          00-1f-f2-07-65-22     dinámico</t>
  </si>
  <si>
    <t xml:space="preserve">  192.168.3.87          00-25-ab-0f-71-d9     dinámico</t>
  </si>
  <si>
    <t xml:space="preserve">  192.168.3.88          b4-22-00-13-82-55     dinámico</t>
  </si>
  <si>
    <t xml:space="preserve">  192.168.3.89          98-e7-f4-08-41-db     dinámico</t>
  </si>
  <si>
    <t xml:space="preserve">  192.168.3.90          24-6a-0e-b4-b3-33     dinámico</t>
  </si>
  <si>
    <t xml:space="preserve">  192.168.3.91          24-be-05-e7-5d-9f     dinámico</t>
  </si>
  <si>
    <t xml:space="preserve">  192.168.3.92          e8-9f-80-78-db-3f     dinámico</t>
  </si>
  <si>
    <t xml:space="preserve">  192.168.3.93          cc-28-aa-33-38-7f     dinámico</t>
  </si>
  <si>
    <t xml:space="preserve">  192.168.3.94          e8-9c-25-2a-82-ee     dinámico</t>
  </si>
  <si>
    <t xml:space="preserve">  192.168.3.95          d2-57-91-c0-ff-42     dinámico</t>
  </si>
  <si>
    <t xml:space="preserve">  192.168.3.96          40-f8-df-8f-90-ee     dinámico</t>
  </si>
  <si>
    <t xml:space="preserve">  192.168.3.97          e8-9c-25-2a-60-04     dinámico</t>
  </si>
  <si>
    <t xml:space="preserve">  192.168.3.98          c8-7f-54-5c-be-71     dinámico</t>
  </si>
  <si>
    <t xml:space="preserve">  192.168.3.99          30-13-8b-fa-6a-97     dinámico</t>
  </si>
  <si>
    <t xml:space="preserve">  192.168.3.100         10-78-d2-35-be-ff     dinámico</t>
  </si>
  <si>
    <t xml:space="preserve">  192.168.3.101         00-25-ab-10-46-c5     dinámico</t>
  </si>
  <si>
    <t xml:space="preserve">  192.168.3.102         18-3d-2d-4c-01-57     dinámico</t>
  </si>
  <si>
    <t xml:space="preserve">  192.168.3.103         cc-28-aa-33-58-a9     dinámico</t>
  </si>
  <si>
    <t xml:space="preserve">  192.168.3.104         cc-28-aa-33-17-70     dinámico</t>
  </si>
  <si>
    <t xml:space="preserve">  192.168.3.105         b0-7b-25-22-ce-57     dinámico</t>
  </si>
  <si>
    <t xml:space="preserve">  192.168.3.107         40-f8-df-8f-6c-18     dinámico</t>
  </si>
  <si>
    <t xml:space="preserve">  192.168.3.108         b0-7b-25-1f-b8-18     dinámico</t>
  </si>
  <si>
    <t xml:space="preserve">  192.168.3.109         b0-7b-25-1f-b7-5f     dinámico</t>
  </si>
  <si>
    <t xml:space="preserve">  192.168.3.110         74-bf-c0-47-c0-a1     dinámico</t>
  </si>
  <si>
    <t xml:space="preserve">  192.168.3.111         b0-7b-25-18-e4-bf     dinámico</t>
  </si>
  <si>
    <t xml:space="preserve">  192.168.3.112         6c-3c-7c-bd-48-65     dinámico</t>
  </si>
  <si>
    <t xml:space="preserve">  192.168.3.113         74-85-2a-00-88-06     dinámico</t>
  </si>
  <si>
    <t xml:space="preserve">  192.168.3.114         b0-7b-25-1e-d3-9d     dinámico</t>
  </si>
  <si>
    <t xml:space="preserve">  192.168.3.115         d8-5e-d3-94-5e-05     dinámico</t>
  </si>
  <si>
    <t xml:space="preserve">  192.168.3.116         20-89-84-f3-94-20     dinámico</t>
  </si>
  <si>
    <t xml:space="preserve">  192.168.3.117         cc-28-aa-33-38-4d     dinámico</t>
  </si>
  <si>
    <t xml:space="preserve">  192.168.3.119         f8-a2-6d-e1-1f-5c     dinámico</t>
  </si>
  <si>
    <t xml:space="preserve">  192.168.3.120         e8-9c-25-2b-98-46     dinámico</t>
  </si>
  <si>
    <t xml:space="preserve">  192.168.3.121         9c-7b-ef-82-f2-f0     dinámico</t>
  </si>
  <si>
    <t xml:space="preserve">  192.168.3.122         cc-28-aa-33-38-46     dinámico</t>
  </si>
  <si>
    <t xml:space="preserve">  192.168.3.123         38-1a-52-ea-a2-6d     dinámico</t>
  </si>
  <si>
    <t xml:space="preserve">  192.168.3.124         b8-2a-72-9b-47-30     dinámico</t>
  </si>
  <si>
    <t xml:space="preserve">  192.168.3.125         40-f8-df-8f-90-3b     dinámico</t>
  </si>
  <si>
    <t xml:space="preserve">  192.168.3.126         00-22-19-6d-e0-3b     dinámico</t>
  </si>
  <si>
    <t xml:space="preserve">  192.168.3.127         40-8d-5c-7c-73-80     dinámico</t>
  </si>
  <si>
    <t xml:space="preserve">  192.168.3.128         b0-7b-25-18-da-d4     dinámico</t>
  </si>
  <si>
    <t xml:space="preserve">  192.168.3.130         e0-d5-5e-15-4c-40     dinámico</t>
  </si>
  <si>
    <t xml:space="preserve">  192.168.3.131         bc-5f-f4-c6-2c-82     dinámico</t>
  </si>
  <si>
    <t xml:space="preserve">  192.168.3.132         e8-9c-25-2a-82-f8     dinámico</t>
  </si>
  <si>
    <t xml:space="preserve">  192.168.3.133         cc-28-aa-33-39-10     dinámico</t>
  </si>
  <si>
    <t xml:space="preserve">  192.168.3.134         cc-28-aa-32-ef-82     dinámico</t>
  </si>
  <si>
    <t xml:space="preserve">  192.168.3.135         e8-9c-25-2a-84-8c     dinámico</t>
  </si>
  <si>
    <t xml:space="preserve">  192.168.3.136         cc-28-aa-33-3c-51     dinámico</t>
  </si>
  <si>
    <t xml:space="preserve">  192.168.3.137         04-d9-f5-34-75-9b     dinámico</t>
  </si>
  <si>
    <t xml:space="preserve">  192.168.3.138         74-d4-35-4b-94-a6     dinámico</t>
  </si>
  <si>
    <t xml:space="preserve">  192.168.3.140         04-d9-f5-34-74-4a     dinámico</t>
  </si>
  <si>
    <t xml:space="preserve">  192.168.3.141         c8-7f-54-5c-74-a3     dinámico</t>
  </si>
  <si>
    <t xml:space="preserve">  192.168.3.142         fc-aa-14-69-f8-5e     dinámico</t>
  </si>
  <si>
    <t xml:space="preserve">  192.168.3.143         fc-aa-14-62-7a-59     dinámico</t>
  </si>
  <si>
    <t xml:space="preserve">  192.168.3.144         cc-28-aa-33-bf-2b     dinámico</t>
  </si>
  <si>
    <t xml:space="preserve">  192.168.3.145         dc-4a-3e-b5-91-c0     dinámico</t>
  </si>
  <si>
    <t xml:space="preserve">  192.168.3.146         40-f8-df-8e-d4-3a     dinámico</t>
  </si>
  <si>
    <t xml:space="preserve">  192.168.3.147         cc-28-aa-32-f0-6d     dinámico</t>
  </si>
  <si>
    <t xml:space="preserve">  192.168.3.148         f4-b5-20-3f-3a-38     dinámico</t>
  </si>
  <si>
    <t xml:space="preserve">  192.168.3.149         cc-28-aa-32-ef-bf     dinámico</t>
  </si>
  <si>
    <t xml:space="preserve">  192.168.3.150         cc-28-aa-32-f4-8e     dinámico</t>
  </si>
  <si>
    <t xml:space="preserve">  192.168.3.151         e8-9c-25-2a-84-2d     dinámico</t>
  </si>
  <si>
    <t xml:space="preserve">  192.168.3.152         08-bf-b8-8c-42-a4     dinámico</t>
  </si>
  <si>
    <t xml:space="preserve">  192.168.3.154         60-26-aa-7b-6c-5d     dinámico</t>
  </si>
  <si>
    <t xml:space="preserve">  192.168.3.155         50-46-5d-57-a8-1d     dinámico</t>
  </si>
  <si>
    <t xml:space="preserve">  192.168.3.156         bc-5f-f4-a8-19-fd     dinámico</t>
  </si>
  <si>
    <t xml:space="preserve">  192.168.3.157         00-13-20-df-a2-95     dinámico</t>
  </si>
  <si>
    <t xml:space="preserve">  192.168.3.158         40-8d-5c-80-c6-f7     dinámico</t>
  </si>
  <si>
    <t xml:space="preserve">  192.168.3.159         40-8d-5c-c0-ff-72     dinámico</t>
  </si>
  <si>
    <t xml:space="preserve">  192.168.3.160         00-25-ab-0f-98-62     dinámico</t>
  </si>
  <si>
    <t xml:space="preserve">  192.168.3.161         18-3d-2d-4c-03-77     dinámico</t>
  </si>
  <si>
    <t xml:space="preserve">  192.168.3.162         b0-7b-25-1f-5f-b4     dinámico</t>
  </si>
  <si>
    <t xml:space="preserve">  192.168.3.163         f0-76-1c-de-71-00     dinámico</t>
  </si>
  <si>
    <t xml:space="preserve">  192.168.3.164         fc-aa-14-08-af-50     dinámico</t>
  </si>
  <si>
    <t xml:space="preserve">  192.168.3.165         b0-7b-25-18-e8-eb     dinámico</t>
  </si>
  <si>
    <t xml:space="preserve">  192.168.3.166         00-d8-61-a9-04-5c     dinámico</t>
  </si>
  <si>
    <t xml:space="preserve">  192.168.3.167         b0-7b-25-1d-36-5b     dinámico</t>
  </si>
  <si>
    <t xml:space="preserve">  192.168.3.169         bc-5f-f4-a8-06-91     dinámico</t>
  </si>
  <si>
    <t xml:space="preserve">  192.168.3.170         94-57-a5-c4-92-53     dinámico</t>
  </si>
  <si>
    <t xml:space="preserve">  192.168.3.171         48-ea-62-0d-13-f7     dinámico</t>
  </si>
  <si>
    <t xml:space="preserve">  192.168.3.172         e8-9c-25-2a-78-c9     dinámico</t>
  </si>
  <si>
    <t xml:space="preserve">  192.168.3.174         cc-28-aa-33-19-90     dinámico</t>
  </si>
  <si>
    <t xml:space="preserve">  192.168.3.175         cc-28-aa-33-3c-7d     dinámico</t>
  </si>
  <si>
    <t xml:space="preserve">  192.168.3.176         cc-28-aa-33-06-d0     dinámico</t>
  </si>
  <si>
    <t xml:space="preserve">  192.168.3.178         dc-4a-3e-b5-39-26     dinámico</t>
  </si>
  <si>
    <t xml:space="preserve">  192.168.3.180         cc-28-aa-33-56-5f     dinámico</t>
  </si>
  <si>
    <t xml:space="preserve">  192.168.3.181         64-31-50-41-df-83     dinámico</t>
  </si>
  <si>
    <t xml:space="preserve">  192.168.3.182         bc-5f-f4-a8-06-97     dinámico</t>
  </si>
  <si>
    <t xml:space="preserve">  192.168.3.183         f0-76-1c-de-71-0f     dinámico</t>
  </si>
  <si>
    <t xml:space="preserve">  192.168.3.184         b0-7b-25-22-cb-05     dinámico</t>
  </si>
  <si>
    <t xml:space="preserve">  192.168.3.186         40-8d-5c-c7-ce-30     dinámico</t>
  </si>
  <si>
    <t xml:space="preserve">  192.168.3.187         c8-7f-54-5c-3a-0c     dinámico</t>
  </si>
  <si>
    <t xml:space="preserve">  192.168.3.188         74-38-b7-d7-2b-a1     dinámico</t>
  </si>
  <si>
    <t xml:space="preserve">  192.168.3.189         40-f8-df-8e-d7-e2     dinámico</t>
  </si>
  <si>
    <t xml:space="preserve">  192.168.3.190         e8-9f-80-78-db-0b     dinámico</t>
  </si>
  <si>
    <t xml:space="preserve">  192.168.3.191         00-e0-4c-68-05-cd     dinámico</t>
  </si>
  <si>
    <t xml:space="preserve">  192.168.3.192         40-f8-df-8f-c3-71     dinámico</t>
  </si>
  <si>
    <t xml:space="preserve">  192.168.3.193         b4-2e-99-b0-e9-75     dinámico</t>
  </si>
  <si>
    <t xml:space="preserve">  192.168.3.194         1c-69-7a-98-e0-2e     dinámico</t>
  </si>
  <si>
    <t xml:space="preserve">  192.168.3.196         18-3d-2d-4c-02-62     dinámico</t>
  </si>
  <si>
    <t xml:space="preserve">  192.168.3.197         d0-bf-9c-33-df-5f     dinámico</t>
  </si>
  <si>
    <t xml:space="preserve">  192.168.3.198         d8-5e-d3-94-4d-c9     dinámico</t>
  </si>
  <si>
    <t xml:space="preserve">  192.168.3.199         f0-76-1c-e4-d4-77     dinámico</t>
  </si>
  <si>
    <t xml:space="preserve">  192.168.3.201         10-78-d2-41-d6-b0     dinámico</t>
  </si>
  <si>
    <t xml:space="preserve">  192.168.3.202         e8-9c-25-2a-81-c8     dinámico</t>
  </si>
  <si>
    <t xml:space="preserve">  192.168.3.203         04-d9-f5-34-74-74     dinámico</t>
  </si>
  <si>
    <t xml:space="preserve">  192.168.3.204         40-8d-5c-7c-73-28     dinámico</t>
  </si>
  <si>
    <t xml:space="preserve">  192.168.3.205         cc-28-aa-33-59-14     dinámico</t>
  </si>
  <si>
    <t xml:space="preserve">  192.168.3.206         10-c3-7b-6b-b2-8c     dinámico</t>
  </si>
  <si>
    <t xml:space="preserve">  192.168.3.208         b0-7b-25-22-cb-13     dinámico</t>
  </si>
  <si>
    <t xml:space="preserve">  192.168.3.209         c8-4d-44-21-cf-75     dinámico</t>
  </si>
  <si>
    <t xml:space="preserve">  192.168.3.210         1c-1b-0d-92-cb-52     dinámico</t>
  </si>
  <si>
    <t xml:space="preserve">  192.168.3.212         18-3d-2d-4c-93-df     dinámico</t>
  </si>
  <si>
    <t xml:space="preserve">  192.168.3.213         00-24-21-3c-83-48     dinámico</t>
  </si>
  <si>
    <t xml:space="preserve">  192.168.3.214         40-8d-5c-76-f4-25     dinámico</t>
  </si>
  <si>
    <t xml:space="preserve">  192.168.3.215         90-2b-34-b5-14-b3     dinámico</t>
  </si>
  <si>
    <t xml:space="preserve">  192.168.3.216         d0-ad-08-c9-fa-2e     dinámico</t>
  </si>
  <si>
    <t xml:space="preserve">  192.168.3.217         40-f8-df-8f-6c-23     dinámico</t>
  </si>
  <si>
    <t xml:space="preserve">  192.168.3.218         04-7c-16-30-e6-42     dinámico</t>
  </si>
  <si>
    <t xml:space="preserve">  192.168.3.219         e8-9c-25-2a-82-e7     dinámico</t>
  </si>
  <si>
    <t xml:space="preserve">  192.168.3.221         30-d0-42-ef-2f-aa     dinámico</t>
  </si>
  <si>
    <t xml:space="preserve">  192.168.3.223         40-8d-5c-60-07-f1     dinámico</t>
  </si>
  <si>
    <t xml:space="preserve">  192.168.3.224         24-6a-0e-b6-fa-6c     dinámico</t>
  </si>
  <si>
    <t xml:space="preserve">  192.168.3.225         cc-28-aa-33-38-2d     dinámico</t>
  </si>
  <si>
    <t xml:space="preserve">  192.168.3.226         cc-28-aa-33-bf-99     dinámico</t>
  </si>
  <si>
    <t xml:space="preserve">  192.168.3.227         e0-d5-5e-15-4f-6d     dinámico</t>
  </si>
  <si>
    <t xml:space="preserve">  192.168.3.228         00-25-ab-0f-79-3b     dinámico</t>
  </si>
  <si>
    <t xml:space="preserve">  192.168.3.229         cc-28-aa-33-0e-92     dinámico</t>
  </si>
  <si>
    <t xml:space="preserve">  192.168.3.230         cc-28-aa-33-38-9d     dinámico</t>
  </si>
  <si>
    <t xml:space="preserve">  192.168.3.233         b0-7b-25-22-c9-a5     dinámico</t>
  </si>
  <si>
    <t xml:space="preserve">  192.168.3.234         b0-7b-25-22-b1-70     dinámico</t>
  </si>
  <si>
    <t xml:space="preserve">  192.168.3.235         e8-9c-25-2b-97-20     dinámico</t>
  </si>
  <si>
    <t xml:space="preserve">  192.168.3.236         00-1f-e2-0c-c4-34     dinámico</t>
  </si>
  <si>
    <t xml:space="preserve">  192.168.3.237         e8-9c-25-a3-bd-62     dinámico</t>
  </si>
  <si>
    <t xml:space="preserve">  192.168.3.238         1c-1b-0d-c8-85-98     dinámico</t>
  </si>
  <si>
    <t xml:space="preserve">  192.168.3.239         e8-9c-25-2a-84-9d     dinámico</t>
  </si>
  <si>
    <t xml:space="preserve">  192.168.3.240         d8-5e-d3-47-76-56     dinámico</t>
  </si>
  <si>
    <t xml:space="preserve">  192.168.3.241         c4-34-6b-7e-c0-bf     dinámico</t>
  </si>
  <si>
    <t xml:space="preserve">  192.168.3.242         b0-7b-25-1d-52-fd     dinámico</t>
  </si>
  <si>
    <t xml:space="preserve">  192.168.3.243         40-8d-5c-80-c6-fd     dinámico</t>
  </si>
  <si>
    <t xml:space="preserve">  192.168.3.245         bc-e9-2f-e9-20-52     dinámico</t>
  </si>
  <si>
    <t xml:space="preserve">  192.168.3.247         cc-28-aa-33-06-bf     dinámico</t>
  </si>
  <si>
    <t xml:space="preserve">  192.168.3.248         e4-11-5b-bc-c0-22     dinámico</t>
  </si>
  <si>
    <t xml:space="preserve">  192.168.3.249         00-e0-07-09-8d-5c     dinámico</t>
  </si>
  <si>
    <t xml:space="preserve">  192.168.3.250         00-e0-4c-68-0a-e0     dinámico</t>
  </si>
  <si>
    <t xml:space="preserve">  192.168.3.251         c0-64-e4-bc-62-f4     dinámico</t>
  </si>
  <si>
    <t xml:space="preserve">  192.168.3.252         e6-79-5e-88-73-28     dinámico</t>
  </si>
  <si>
    <t xml:space="preserve">  192.168.3.253         00-24-21-3c-83-85     dinámico</t>
  </si>
  <si>
    <t xml:space="preserve">  192.168.3.254         00-90-7f-1a-b0-8b     dinámico</t>
  </si>
  <si>
    <t xml:space="preserve">  192.168.3.255         ff-ff-ff-ff-ff-ff     estático</t>
  </si>
  <si>
    <t xml:space="preserve">  224.0.0.2             01-00-5e-00-00-02     estático</t>
  </si>
  <si>
    <t xml:space="preserve">  224.0.0.22            01-00-5e-00-00-16     estático</t>
  </si>
  <si>
    <t xml:space="preserve">  224.0.0.251           01-00-5e-00-00-fb     estático</t>
  </si>
  <si>
    <t xml:space="preserve">  224.0.0.252           01-00-5e-00-00-fc     estático</t>
  </si>
  <si>
    <t xml:space="preserve">  224.0.1.60            01-00-5e-00-01-3c     estático</t>
  </si>
  <si>
    <t xml:space="preserve">  224.0.2.3             01-00-5e-00-02-03     estático</t>
  </si>
  <si>
    <t xml:space="preserve">  224.0.6.151           01-00-5e-00-06-97     estático</t>
  </si>
  <si>
    <t xml:space="preserve">  239.192.152.143       01-00-5e-40-98-8f     estático</t>
  </si>
  <si>
    <t xml:space="preserve">  239.255.102.18        01-00-5e-7f-66-12     estático</t>
  </si>
  <si>
    <t xml:space="preserve">  239.255.255.250       01-00-5e-7f-ff-fa     estático</t>
  </si>
  <si>
    <t xml:space="preserve">  239.255.255.253       01-00-5e-7f-ff-fd     estático</t>
  </si>
  <si>
    <t>Interfaz: 192.168.56.1 --- 0x9</t>
  </si>
  <si>
    <t xml:space="preserve">  Dirección de Internet          Dirección física      Tipo</t>
  </si>
  <si>
    <t xml:space="preserve">  192.168.56.255        ff-ff-ff-ff-ff-ff     estático</t>
  </si>
  <si>
    <t>Interfaz: 192.168.58.1 --- 0xb</t>
  </si>
  <si>
    <t xml:space="preserve">  192.168.58.255        ff-ff-ff-ff-ff-ff     estático</t>
  </si>
  <si>
    <t>Interfaz: 172.21.32.1 --- 0x33</t>
  </si>
  <si>
    <t xml:space="preserve">  172.21.37.164         00-15-5d-38-01-00     estático</t>
  </si>
  <si>
    <t xml:space="preserve">  172.21.47.255         ff-ff-ff-ff-ff-ff     estático</t>
  </si>
  <si>
    <t xml:space="preserve">  255.255.255.255       ff-ff-ff-ff-ff-ff     estático</t>
  </si>
  <si>
    <t>169.254.29.113</t>
  </si>
  <si>
    <t xml:space="preserve">  192.168.3.1 </t>
  </si>
  <si>
    <t xml:space="preserve">  192.168.3.3 </t>
  </si>
  <si>
    <t xml:space="preserve">  192.168.3.4 </t>
  </si>
  <si>
    <t xml:space="preserve">  192.168.3.5 </t>
  </si>
  <si>
    <t xml:space="preserve">  192.168.3.7 </t>
  </si>
  <si>
    <t xml:space="preserve">  192.168.3.8 </t>
  </si>
  <si>
    <t xml:space="preserve">  192.168.3.9 </t>
  </si>
  <si>
    <t xml:space="preserve">  192.168.3.10</t>
  </si>
  <si>
    <t xml:space="preserve">  192.168.3.11</t>
  </si>
  <si>
    <t xml:space="preserve">  192.168.3.12</t>
  </si>
  <si>
    <t xml:space="preserve">  192.168.3.13</t>
  </si>
  <si>
    <t xml:space="preserve">  192.168.3.14</t>
  </si>
  <si>
    <t xml:space="preserve">  192.168.3.15</t>
  </si>
  <si>
    <t xml:space="preserve">  192.168.3.16</t>
  </si>
  <si>
    <t xml:space="preserve">  192.168.3.17</t>
  </si>
  <si>
    <t xml:space="preserve">  192.168.3.18</t>
  </si>
  <si>
    <t xml:space="preserve">  192.168.3.19</t>
  </si>
  <si>
    <t xml:space="preserve">  192.168.3.20</t>
  </si>
  <si>
    <t xml:space="preserve">  192.168.3.21</t>
  </si>
  <si>
    <t xml:space="preserve">  192.168.3.22</t>
  </si>
  <si>
    <t xml:space="preserve">  192.168.3.23</t>
  </si>
  <si>
    <t xml:space="preserve">  192.168.3.25</t>
  </si>
  <si>
    <t xml:space="preserve">  192.168.3.26</t>
  </si>
  <si>
    <t xml:space="preserve">  192.168.3.27</t>
  </si>
  <si>
    <t xml:space="preserve">  192.168.3.28</t>
  </si>
  <si>
    <t xml:space="preserve">  192.168.3.29</t>
  </si>
  <si>
    <t xml:space="preserve">  192.168.3.30</t>
  </si>
  <si>
    <t xml:space="preserve">  192.168.3.31</t>
  </si>
  <si>
    <t xml:space="preserve">  192.168.3.32</t>
  </si>
  <si>
    <t xml:space="preserve">  192.168.3.33</t>
  </si>
  <si>
    <t xml:space="preserve">  192.168.3.34</t>
  </si>
  <si>
    <t xml:space="preserve">  192.168.3.35</t>
  </si>
  <si>
    <t xml:space="preserve">  192.168.3.36</t>
  </si>
  <si>
    <t xml:space="preserve">  192.168.3.37</t>
  </si>
  <si>
    <t xml:space="preserve">  192.168.3.38</t>
  </si>
  <si>
    <t xml:space="preserve">  192.168.3.39</t>
  </si>
  <si>
    <t xml:space="preserve">  192.168.3.40</t>
  </si>
  <si>
    <t xml:space="preserve">  192.168.3.41</t>
  </si>
  <si>
    <t xml:space="preserve">  192.168.3.43</t>
  </si>
  <si>
    <t xml:space="preserve">  192.168.3.44</t>
  </si>
  <si>
    <t xml:space="preserve">  192.168.3.45</t>
  </si>
  <si>
    <t xml:space="preserve">  192.168.3.46</t>
  </si>
  <si>
    <t xml:space="preserve">  192.168.3.47</t>
  </si>
  <si>
    <t xml:space="preserve">  192.168.3.48</t>
  </si>
  <si>
    <t xml:space="preserve">  192.168.3.50</t>
  </si>
  <si>
    <t xml:space="preserve">  192.168.3.51</t>
  </si>
  <si>
    <t xml:space="preserve">  192.168.3.52</t>
  </si>
  <si>
    <t xml:space="preserve">  192.168.3.53</t>
  </si>
  <si>
    <t xml:space="preserve">  192.168.3.54</t>
  </si>
  <si>
    <t xml:space="preserve">  192.168.3.55</t>
  </si>
  <si>
    <t xml:space="preserve">  192.168.3.56</t>
  </si>
  <si>
    <t xml:space="preserve">  192.168.3.57</t>
  </si>
  <si>
    <t xml:space="preserve">  192.168.3.58</t>
  </si>
  <si>
    <t xml:space="preserve">  192.168.3.59</t>
  </si>
  <si>
    <t xml:space="preserve">  192.168.3.60</t>
  </si>
  <si>
    <t xml:space="preserve">  192.168.3.61</t>
  </si>
  <si>
    <t xml:space="preserve">  192.168.3.62</t>
  </si>
  <si>
    <t xml:space="preserve">  192.168.3.63</t>
  </si>
  <si>
    <t xml:space="preserve">  192.168.3.64</t>
  </si>
  <si>
    <t xml:space="preserve">  192.168.3.65</t>
  </si>
  <si>
    <t xml:space="preserve">  192.168.3.66</t>
  </si>
  <si>
    <t xml:space="preserve">  192.168.3.68</t>
  </si>
  <si>
    <t xml:space="preserve">  192.168.3.70</t>
  </si>
  <si>
    <t xml:space="preserve">  192.168.3.72</t>
  </si>
  <si>
    <t xml:space="preserve">  192.168.3.73</t>
  </si>
  <si>
    <t xml:space="preserve">  192.168.3.74</t>
  </si>
  <si>
    <t xml:space="preserve">  192.168.3.76</t>
  </si>
  <si>
    <t xml:space="preserve">  192.168.3.78</t>
  </si>
  <si>
    <t xml:space="preserve">  192.168.3.79</t>
  </si>
  <si>
    <t xml:space="preserve">  192.168.3.80</t>
  </si>
  <si>
    <t xml:space="preserve">  192.168.3.81</t>
  </si>
  <si>
    <t xml:space="preserve">  192.168.3.82</t>
  </si>
  <si>
    <t xml:space="preserve">  192.168.3.83</t>
  </si>
  <si>
    <t xml:space="preserve">  192.168.3.84</t>
  </si>
  <si>
    <t xml:space="preserve">  192.168.3.85</t>
  </si>
  <si>
    <t xml:space="preserve">  192.168.3.86</t>
  </si>
  <si>
    <t xml:space="preserve">  192.168.3.87</t>
  </si>
  <si>
    <t xml:space="preserve">  192.168.3.88</t>
  </si>
  <si>
    <t xml:space="preserve">  192.168.3.89</t>
  </si>
  <si>
    <t xml:space="preserve">  192.168.3.90</t>
  </si>
  <si>
    <t xml:space="preserve">  192.168.3.91</t>
  </si>
  <si>
    <t xml:space="preserve">  192.168.3.92</t>
  </si>
  <si>
    <t xml:space="preserve">  192.168.3.93</t>
  </si>
  <si>
    <t xml:space="preserve">  192.168.3.94</t>
  </si>
  <si>
    <t xml:space="preserve">  192.168.3.95</t>
  </si>
  <si>
    <t xml:space="preserve">  192.168.3.96</t>
  </si>
  <si>
    <t xml:space="preserve">  192.168.3.97</t>
  </si>
  <si>
    <t xml:space="preserve">  192.168.3.98</t>
  </si>
  <si>
    <t xml:space="preserve">  192.168.3.99</t>
  </si>
  <si>
    <t xml:space="preserve">  192.168.3.100</t>
  </si>
  <si>
    <t xml:space="preserve">  192.168.3.101</t>
  </si>
  <si>
    <t xml:space="preserve">  192.168.3.102</t>
  </si>
  <si>
    <t xml:space="preserve">  192.168.3.103</t>
  </si>
  <si>
    <t xml:space="preserve">  192.168.3.104</t>
  </si>
  <si>
    <t xml:space="preserve">  192.168.3.105</t>
  </si>
  <si>
    <t xml:space="preserve">  192.168.3.107</t>
  </si>
  <si>
    <t xml:space="preserve">  192.168.3.108</t>
  </si>
  <si>
    <t xml:space="preserve">  192.168.3.109</t>
  </si>
  <si>
    <t xml:space="preserve">  192.168.3.110</t>
  </si>
  <si>
    <t xml:space="preserve">  192.168.3.111</t>
  </si>
  <si>
    <t xml:space="preserve">  192.168.3.112</t>
  </si>
  <si>
    <t xml:space="preserve">  192.168.3.113</t>
  </si>
  <si>
    <t xml:space="preserve">  192.168.3.114</t>
  </si>
  <si>
    <t xml:space="preserve">  192.168.3.115</t>
  </si>
  <si>
    <t xml:space="preserve">  192.168.3.116</t>
  </si>
  <si>
    <t xml:space="preserve">  192.168.3.117</t>
  </si>
  <si>
    <t xml:space="preserve">  192.168.3.119</t>
  </si>
  <si>
    <t xml:space="preserve">  192.168.3.120</t>
  </si>
  <si>
    <t xml:space="preserve">  192.168.3.121</t>
  </si>
  <si>
    <t xml:space="preserve">  192.168.3.122</t>
  </si>
  <si>
    <t xml:space="preserve">  192.168.3.123</t>
  </si>
  <si>
    <t xml:space="preserve">  192.168.3.124</t>
  </si>
  <si>
    <t xml:space="preserve">  192.168.3.125</t>
  </si>
  <si>
    <t xml:space="preserve">  192.168.3.126</t>
  </si>
  <si>
    <t xml:space="preserve">  192.168.3.127</t>
  </si>
  <si>
    <t xml:space="preserve">  192.168.3.128</t>
  </si>
  <si>
    <t xml:space="preserve">  192.168.3.130</t>
  </si>
  <si>
    <t xml:space="preserve">  192.168.3.131</t>
  </si>
  <si>
    <t xml:space="preserve">  192.168.3.132</t>
  </si>
  <si>
    <t xml:space="preserve">  192.168.3.133</t>
  </si>
  <si>
    <t xml:space="preserve">  192.168.3.134</t>
  </si>
  <si>
    <t xml:space="preserve">  192.168.3.135</t>
  </si>
  <si>
    <t xml:space="preserve">  192.168.3.136</t>
  </si>
  <si>
    <t xml:space="preserve">  192.168.3.137</t>
  </si>
  <si>
    <t xml:space="preserve">  192.168.3.138</t>
  </si>
  <si>
    <t xml:space="preserve">  192.168.3.140</t>
  </si>
  <si>
    <t xml:space="preserve">  192.168.3.141</t>
  </si>
  <si>
    <t xml:space="preserve">  192.168.3.142</t>
  </si>
  <si>
    <t xml:space="preserve">  192.168.3.143</t>
  </si>
  <si>
    <t xml:space="preserve">  192.168.3.144</t>
  </si>
  <si>
    <t xml:space="preserve">  192.168.3.145</t>
  </si>
  <si>
    <t xml:space="preserve">  192.168.3.146</t>
  </si>
  <si>
    <t xml:space="preserve">  192.168.3.147</t>
  </si>
  <si>
    <t xml:space="preserve">  192.168.3.148</t>
  </si>
  <si>
    <t xml:space="preserve">  192.168.3.149</t>
  </si>
  <si>
    <t xml:space="preserve">  192.168.3.150</t>
  </si>
  <si>
    <t xml:space="preserve">  192.168.3.151</t>
  </si>
  <si>
    <t xml:space="preserve">  192.168.3.152</t>
  </si>
  <si>
    <t xml:space="preserve">  192.168.3.154</t>
  </si>
  <si>
    <t xml:space="preserve">  192.168.3.155</t>
  </si>
  <si>
    <t xml:space="preserve">  192.168.3.156</t>
  </si>
  <si>
    <t xml:space="preserve">  192.168.3.157</t>
  </si>
  <si>
    <t xml:space="preserve">  192.168.3.158</t>
  </si>
  <si>
    <t xml:space="preserve">  192.168.3.159</t>
  </si>
  <si>
    <t xml:space="preserve">  192.168.3.160</t>
  </si>
  <si>
    <t xml:space="preserve">  192.168.3.161</t>
  </si>
  <si>
    <t xml:space="preserve">  192.168.3.162</t>
  </si>
  <si>
    <t xml:space="preserve">  192.168.3.163</t>
  </si>
  <si>
    <t xml:space="preserve">  192.168.3.164</t>
  </si>
  <si>
    <t xml:space="preserve">  192.168.3.165</t>
  </si>
  <si>
    <t xml:space="preserve">  192.168.3.166</t>
  </si>
  <si>
    <t xml:space="preserve">  192.168.3.167</t>
  </si>
  <si>
    <t xml:space="preserve">  192.168.3.169</t>
  </si>
  <si>
    <t xml:space="preserve">  192.168.3.170</t>
  </si>
  <si>
    <t xml:space="preserve">  192.168.3.171</t>
  </si>
  <si>
    <t xml:space="preserve">  192.168.3.172</t>
  </si>
  <si>
    <t xml:space="preserve">  192.168.3.174</t>
  </si>
  <si>
    <t xml:space="preserve">  192.168.3.175</t>
  </si>
  <si>
    <t xml:space="preserve">  192.168.3.176</t>
  </si>
  <si>
    <t xml:space="preserve">  192.168.3.178</t>
  </si>
  <si>
    <t xml:space="preserve">  192.168.3.180</t>
  </si>
  <si>
    <t xml:space="preserve">  192.168.3.181</t>
  </si>
  <si>
    <t xml:space="preserve">  192.168.3.182</t>
  </si>
  <si>
    <t xml:space="preserve">  192.168.3.183</t>
  </si>
  <si>
    <t xml:space="preserve">  192.168.3.184</t>
  </si>
  <si>
    <t xml:space="preserve">  192.168.3.186</t>
  </si>
  <si>
    <t xml:space="preserve">  192.168.3.187</t>
  </si>
  <si>
    <t xml:space="preserve">  192.168.3.188</t>
  </si>
  <si>
    <t xml:space="preserve">  192.168.3.189</t>
  </si>
  <si>
    <t xml:space="preserve">  192.168.3.190</t>
  </si>
  <si>
    <t xml:space="preserve">  192.168.3.191</t>
  </si>
  <si>
    <t xml:space="preserve">  192.168.3.192</t>
  </si>
  <si>
    <t xml:space="preserve">  192.168.3.193</t>
  </si>
  <si>
    <t xml:space="preserve">  192.168.3.194</t>
  </si>
  <si>
    <t xml:space="preserve">  192.168.3.196</t>
  </si>
  <si>
    <t xml:space="preserve">  192.168.3.197</t>
  </si>
  <si>
    <t xml:space="preserve">  192.168.3.198</t>
  </si>
  <si>
    <t xml:space="preserve">  192.168.3.199</t>
  </si>
  <si>
    <t xml:space="preserve">  192.168.3.201</t>
  </si>
  <si>
    <t xml:space="preserve">  192.168.3.202</t>
  </si>
  <si>
    <t xml:space="preserve">  192.168.3.203</t>
  </si>
  <si>
    <t xml:space="preserve">  192.168.3.204</t>
  </si>
  <si>
    <t xml:space="preserve">  192.168.3.205</t>
  </si>
  <si>
    <t xml:space="preserve">  192.168.3.206</t>
  </si>
  <si>
    <t xml:space="preserve">  192.168.3.208</t>
  </si>
  <si>
    <t xml:space="preserve">  192.168.3.209</t>
  </si>
  <si>
    <t xml:space="preserve">  192.168.3.210</t>
  </si>
  <si>
    <t xml:space="preserve">  192.168.3.212</t>
  </si>
  <si>
    <t xml:space="preserve">  192.168.3.213</t>
  </si>
  <si>
    <t xml:space="preserve">  192.168.3.214</t>
  </si>
  <si>
    <t xml:space="preserve">  192.168.3.215</t>
  </si>
  <si>
    <t xml:space="preserve">  192.168.3.216</t>
  </si>
  <si>
    <t xml:space="preserve">  192.168.3.217</t>
  </si>
  <si>
    <t xml:space="preserve">  192.168.3.218</t>
  </si>
  <si>
    <t xml:space="preserve">  192.168.3.219</t>
  </si>
  <si>
    <t xml:space="preserve">  192.168.3.221</t>
  </si>
  <si>
    <t xml:space="preserve">  192.168.3.223</t>
  </si>
  <si>
    <t xml:space="preserve">  192.168.3.224</t>
  </si>
  <si>
    <t xml:space="preserve">  192.168.3.225</t>
  </si>
  <si>
    <t xml:space="preserve">  192.168.3.226</t>
  </si>
  <si>
    <t xml:space="preserve">  192.168.3.227</t>
  </si>
  <si>
    <t xml:space="preserve">  192.168.3.228</t>
  </si>
  <si>
    <t xml:space="preserve">  192.168.3.229</t>
  </si>
  <si>
    <t xml:space="preserve">  192.168.3.230</t>
  </si>
  <si>
    <t xml:space="preserve">  192.168.3.233</t>
  </si>
  <si>
    <t xml:space="preserve">  192.168.3.234</t>
  </si>
  <si>
    <t xml:space="preserve">  192.168.3.235</t>
  </si>
  <si>
    <t xml:space="preserve">  192.168.3.236</t>
  </si>
  <si>
    <t xml:space="preserve">  192.168.3.237</t>
  </si>
  <si>
    <t xml:space="preserve">  192.168.3.238</t>
  </si>
  <si>
    <t xml:space="preserve">  192.168.3.239</t>
  </si>
  <si>
    <t xml:space="preserve">  192.168.3.240</t>
  </si>
  <si>
    <t xml:space="preserve">  192.168.3.241</t>
  </si>
  <si>
    <t xml:space="preserve">  192.168.3.242</t>
  </si>
  <si>
    <t xml:space="preserve">  192.168.3.243</t>
  </si>
  <si>
    <t xml:space="preserve">  192.168.3.245</t>
  </si>
  <si>
    <t xml:space="preserve">  192.168.3.247</t>
  </si>
  <si>
    <t xml:space="preserve">  192.168.3.248</t>
  </si>
  <si>
    <t xml:space="preserve">  192.168.3.249</t>
  </si>
  <si>
    <t xml:space="preserve">  192.168.3.250</t>
  </si>
  <si>
    <t xml:space="preserve">  192.168.3.251</t>
  </si>
  <si>
    <t xml:space="preserve">  192.168.3.252</t>
  </si>
  <si>
    <t xml:space="preserve">  192.168.3.253</t>
  </si>
  <si>
    <t xml:space="preserve">  192.168.3.254</t>
  </si>
  <si>
    <t xml:space="preserve">  192.168.3.255</t>
  </si>
  <si>
    <t xml:space="preserve">  224.0.0.2    </t>
  </si>
  <si>
    <t xml:space="preserve">  224.0.0.22   </t>
  </si>
  <si>
    <t xml:space="preserve">  224.0.0.251  </t>
  </si>
  <si>
    <t xml:space="preserve">  224.0.0.252  </t>
  </si>
  <si>
    <t xml:space="preserve">  224.0.1.60   </t>
  </si>
  <si>
    <t xml:space="preserve">  224.0.2.3    </t>
  </si>
  <si>
    <t xml:space="preserve">  224.0.6.151  </t>
  </si>
  <si>
    <t xml:space="preserve">  239.192.152.143</t>
  </si>
  <si>
    <t xml:space="preserve">  239.255.102.18 </t>
  </si>
  <si>
    <t xml:space="preserve">  239.255.255.250</t>
  </si>
  <si>
    <t xml:space="preserve">  239.255.255.253</t>
  </si>
  <si>
    <t>ip</t>
  </si>
  <si>
    <t>mac</t>
  </si>
  <si>
    <t>00-13-20-df-a2-95</t>
  </si>
  <si>
    <t>00-1f-e2-0c-c4-34</t>
  </si>
  <si>
    <t>00-1f-f2-07-65-22</t>
  </si>
  <si>
    <t>00-21-97-34-35-1d</t>
  </si>
  <si>
    <t>00-22-19-6d-e0-3b</t>
  </si>
  <si>
    <t>00-24-21-3c-83-48</t>
  </si>
  <si>
    <t>00-24-21-3c-83-85</t>
  </si>
  <si>
    <t>00-25-ab-0f-71-d9</t>
  </si>
  <si>
    <t>00-25-ab-0f-79-3b</t>
  </si>
  <si>
    <t>00-25-ab-0f-98-1c</t>
  </si>
  <si>
    <t>00-25-ab-0f-98-62</t>
  </si>
  <si>
    <t>00-25-ab-10-46-c5</t>
  </si>
  <si>
    <t>00-25-ab-1b-6a-f5</t>
  </si>
  <si>
    <t>00-71-c2-3e-7a-8f</t>
  </si>
  <si>
    <t>00-90-7f-1a-b0-8b</t>
  </si>
  <si>
    <t>00-d8-61-a9-04-5c</t>
  </si>
  <si>
    <t>00-e0-07-09-8d-5c</t>
  </si>
  <si>
    <t>00-e0-4c-68-05-cd</t>
  </si>
  <si>
    <t>00-e0-4c-68-0a-e0</t>
  </si>
  <si>
    <t>00-e0-4d-a9-5c-e2</t>
  </si>
  <si>
    <t>01-00-5e-00-00-02</t>
  </si>
  <si>
    <t>01-00-5e-00-00-16</t>
  </si>
  <si>
    <t>01-00-5e-00-00-fb</t>
  </si>
  <si>
    <t>01-00-5e-00-00-fc</t>
  </si>
  <si>
    <t>01-00-5e-00-01-3c</t>
  </si>
  <si>
    <t>01-00-5e-00-02-03</t>
  </si>
  <si>
    <t>01-00-5e-00-06-97</t>
  </si>
  <si>
    <t>01-00-5e-40-98-8f</t>
  </si>
  <si>
    <t>01-00-5e-7f-66-12</t>
  </si>
  <si>
    <t>01-00-5e-7f-ff-fa</t>
  </si>
  <si>
    <t>01-00-5e-7f-ff-fd</t>
  </si>
  <si>
    <t>04-7c-16-30-e6-42</t>
  </si>
  <si>
    <t>04-d9-f5-34-74-4a</t>
  </si>
  <si>
    <t>04-d9-f5-34-74-74</t>
  </si>
  <si>
    <t>04-d9-f5-34-75-9b</t>
  </si>
  <si>
    <t>08-00-27-c6-4c-37</t>
  </si>
  <si>
    <t>08-3a-88-19-1f-97</t>
  </si>
  <si>
    <t>08-bf-b8-8c-42-a4</t>
  </si>
  <si>
    <t>10-78-d2-35-be-ff</t>
  </si>
  <si>
    <t>10-78-d2-41-d6-b0</t>
  </si>
  <si>
    <t>10-78-d2-8d-8a-cd</t>
  </si>
  <si>
    <t>10-c3-7b-6b-b2-8c</t>
  </si>
  <si>
    <t>14-eb-b6-cf-70-9f</t>
  </si>
  <si>
    <t>18-3d-2d-4c-00-63</t>
  </si>
  <si>
    <t>18-3d-2d-4c-00-98</t>
  </si>
  <si>
    <t>18-3d-2d-4c-00-f6</t>
  </si>
  <si>
    <t>18-3d-2d-4c-01-57</t>
  </si>
  <si>
    <t>18-3d-2d-4c-02-62</t>
  </si>
  <si>
    <t>18-3d-2d-4c-03-31</t>
  </si>
  <si>
    <t>18-3d-2d-4c-03-77</t>
  </si>
  <si>
    <t>18-3d-2d-4c-93-df</t>
  </si>
  <si>
    <t>1c-1b-0d-59-7c-a4</t>
  </si>
  <si>
    <t>1c-1b-0d-92-cb-52</t>
  </si>
  <si>
    <t>1c-1b-0d-c8-85-98</t>
  </si>
  <si>
    <t>1c-1b-0d-c8-87-d0</t>
  </si>
  <si>
    <t>1c-66-6d-92-99-89</t>
  </si>
  <si>
    <t>1c-69-7a-98-e0-2e</t>
  </si>
  <si>
    <t>20-89-84-f3-94-20</t>
  </si>
  <si>
    <t>24-6a-0e-b4-b3-33</t>
  </si>
  <si>
    <t>24-6a-0e-b6-fa-6c</t>
  </si>
  <si>
    <t>24-be-05-e7-5d-9f</t>
  </si>
  <si>
    <t>26-e8-32-01-9b-2b</t>
  </si>
  <si>
    <t>28-87-ba-42-53-fb</t>
  </si>
  <si>
    <t>30-13-8b-fa-6a-97</t>
  </si>
  <si>
    <t>30-d0-42-ef-2f-aa</t>
  </si>
  <si>
    <t>30-e1-71-3b-f0-98</t>
  </si>
  <si>
    <t>34-9f-7b-cb-57-2a</t>
  </si>
  <si>
    <t>38-1a-52-ea-a2-68</t>
  </si>
  <si>
    <t>38-1a-52-ea-a2-6d</t>
  </si>
  <si>
    <t>38-60-77-8a-93-9e</t>
  </si>
  <si>
    <t>40-8d-5c-60-00-11</t>
  </si>
  <si>
    <t>40-8d-5c-60-07-f1</t>
  </si>
  <si>
    <t>40-8d-5c-76-f1-ff</t>
  </si>
  <si>
    <t>40-8d-5c-76-f4-25</t>
  </si>
  <si>
    <t>40-8d-5c-7c-73-28</t>
  </si>
  <si>
    <t>40-8d-5c-7c-73-80</t>
  </si>
  <si>
    <t>40-8d-5c-80-c6-e3</t>
  </si>
  <si>
    <t>40-8d-5c-80-c6-f2</t>
  </si>
  <si>
    <t>40-8d-5c-80-c6-f7</t>
  </si>
  <si>
    <t>40-8d-5c-80-c6-fd</t>
  </si>
  <si>
    <t>40-8d-5c-c0-24-8c</t>
  </si>
  <si>
    <t>40-8d-5c-c0-ff-72</t>
  </si>
  <si>
    <t>40-8d-5c-c4-7e-dd</t>
  </si>
  <si>
    <t>40-8d-5c-c4-82-f0</t>
  </si>
  <si>
    <t>40-8d-5c-c7-ce-30</t>
  </si>
  <si>
    <t>40-8d-5c-dd-46-06</t>
  </si>
  <si>
    <t>40-f8-df-8e-d4-3a</t>
  </si>
  <si>
    <t>40-f8-df-8e-d7-e2</t>
  </si>
  <si>
    <t>40-f8-df-8f-6c-18</t>
  </si>
  <si>
    <t>40-f8-df-8f-6c-23</t>
  </si>
  <si>
    <t>40-f8-df-8f-90-3b</t>
  </si>
  <si>
    <t>40-f8-df-8f-90-ee</t>
  </si>
  <si>
    <t>40-f8-df-8f-c3-71</t>
  </si>
  <si>
    <t>48-ea-62-0d-13-f7</t>
  </si>
  <si>
    <t>4c-cc-6a-7b-98-69</t>
  </si>
  <si>
    <t>50-46-5d-57-a8-1d</t>
  </si>
  <si>
    <t>54-af-97-eb-e7-78</t>
  </si>
  <si>
    <t>60-26-aa-7b-6c-5d</t>
  </si>
  <si>
    <t>64-31-50-41-df-83</t>
  </si>
  <si>
    <t>6c-3c-7c-bd-48-65</t>
  </si>
  <si>
    <t>74-38-b7-d7-2b-a1</t>
  </si>
  <si>
    <t>74-85-2a-00-88-06</t>
  </si>
  <si>
    <t>74-bf-c0-47-c0-a1</t>
  </si>
  <si>
    <t>74-d4-35-4b-94-a6</t>
  </si>
  <si>
    <t>74-fe-ce-6e-66-0b</t>
  </si>
  <si>
    <t>88-ae-dd-07-ba-1e</t>
  </si>
  <si>
    <t>90-2b-34-13-f0-00</t>
  </si>
  <si>
    <t>90-2b-34-b5-14-b3</t>
  </si>
  <si>
    <t>94-57-a5-c4-92-53</t>
  </si>
  <si>
    <t>94-de-80-2f-37-ed</t>
  </si>
  <si>
    <t>98-e7-f4-08-41-db</t>
  </si>
  <si>
    <t>9c-7b-ef-82-f2-f0</t>
  </si>
  <si>
    <t>9c-b6-54-bb-6f-94</t>
  </si>
  <si>
    <t>a4-d7-3c-ec-64-b6</t>
  </si>
  <si>
    <t>a8-5e-45-31-22-2e</t>
  </si>
  <si>
    <t>b0-7b-25-18-da-d4</t>
  </si>
  <si>
    <t>b0-7b-25-18-e4-bf</t>
  </si>
  <si>
    <t>b0-7b-25-18-e8-eb</t>
  </si>
  <si>
    <t>b0-7b-25-1d-36-5a</t>
  </si>
  <si>
    <t>b0-7b-25-1d-36-5b</t>
  </si>
  <si>
    <t>b0-7b-25-1d-52-fd</t>
  </si>
  <si>
    <t>b0-7b-25-1e-d3-9d</t>
  </si>
  <si>
    <t>b0-7b-25-1f-5f-b4</t>
  </si>
  <si>
    <t>b0-7b-25-1f-b7-5f</t>
  </si>
  <si>
    <t>b0-7b-25-1f-b7-ab</t>
  </si>
  <si>
    <t>b0-7b-25-1f-b8-18</t>
  </si>
  <si>
    <t>b0-7b-25-22-99-a1</t>
  </si>
  <si>
    <t>b0-7b-25-22-b1-70</t>
  </si>
  <si>
    <t>b0-7b-25-22-c9-a5</t>
  </si>
  <si>
    <t>b0-7b-25-22-ca-19</t>
  </si>
  <si>
    <t>b0-7b-25-22-ca-89</t>
  </si>
  <si>
    <t>b0-7b-25-22-cb-05</t>
  </si>
  <si>
    <t>b0-7b-25-22-cb-13</t>
  </si>
  <si>
    <t>b0-7b-25-22-ce-57</t>
  </si>
  <si>
    <t>b0-cc-fe-92-00-9a</t>
  </si>
  <si>
    <t>b4-22-00-13-82-55</t>
  </si>
  <si>
    <t>b4-2e-99-b0-e9-75</t>
  </si>
  <si>
    <t>b8-2a-72-9b-47-30</t>
  </si>
  <si>
    <t>bc-5f-f4-a7-ed-2c</t>
  </si>
  <si>
    <t>bc-5f-f4-a8-06-85</t>
  </si>
  <si>
    <t>bc-5f-f4-a8-06-91</t>
  </si>
  <si>
    <t>bc-5f-f4-a8-06-97</t>
  </si>
  <si>
    <t>bc-5f-f4-a8-19-fd</t>
  </si>
  <si>
    <t>bc-5f-f4-c5-76-0d</t>
  </si>
  <si>
    <t>bc-5f-f4-c6-2c-82</t>
  </si>
  <si>
    <t>bc-5f-f4-c6-2d-98</t>
  </si>
  <si>
    <t>bc-5f-f4-c6-2e-2e</t>
  </si>
  <si>
    <t>bc-e9-2f-e9-20-52</t>
  </si>
  <si>
    <t>c0-64-e4-bc-62-f4</t>
  </si>
  <si>
    <t>c4-34-6b-7e-c0-bf</t>
  </si>
  <si>
    <t>c8-4d-44-21-cf-75</t>
  </si>
  <si>
    <t>c8-7f-54-5c-3a-0c</t>
  </si>
  <si>
    <t>c8-7f-54-5c-74-a3</t>
  </si>
  <si>
    <t>c8-7f-54-5c-be-71</t>
  </si>
  <si>
    <t>cc-28-aa-32-ed-62</t>
  </si>
  <si>
    <t>cc-28-aa-32-ef-82</t>
  </si>
  <si>
    <t>cc-28-aa-32-ef-bf</t>
  </si>
  <si>
    <t>cc-28-aa-32-f0-42</t>
  </si>
  <si>
    <t>cc-28-aa-32-f0-6d</t>
  </si>
  <si>
    <t>cc-28-aa-32-f4-8e</t>
  </si>
  <si>
    <t>cc-28-aa-33-06-bf</t>
  </si>
  <si>
    <t>cc-28-aa-33-06-d0</t>
  </si>
  <si>
    <t>cc-28-aa-33-06-e0</t>
  </si>
  <si>
    <t>cc-28-aa-33-0e-76</t>
  </si>
  <si>
    <t>cc-28-aa-33-0e-92</t>
  </si>
  <si>
    <t>cc-28-aa-33-17-18</t>
  </si>
  <si>
    <t>cc-28-aa-33-17-70</t>
  </si>
  <si>
    <t>cc-28-aa-33-19-90</t>
  </si>
  <si>
    <t>cc-28-aa-33-38-2d</t>
  </si>
  <si>
    <t>cc-28-aa-33-38-46</t>
  </si>
  <si>
    <t>cc-28-aa-33-38-4d</t>
  </si>
  <si>
    <t>cc-28-aa-33-38-52</t>
  </si>
  <si>
    <t>cc-28-aa-33-38-7f</t>
  </si>
  <si>
    <t>cc-28-aa-33-38-9d</t>
  </si>
  <si>
    <t>cc-28-aa-33-39-10</t>
  </si>
  <si>
    <t>cc-28-aa-33-3c-51</t>
  </si>
  <si>
    <t>cc-28-aa-33-3c-7d</t>
  </si>
  <si>
    <t>cc-28-aa-33-56-5f</t>
  </si>
  <si>
    <t>cc-28-aa-33-58-a9</t>
  </si>
  <si>
    <t>cc-28-aa-33-59-14</t>
  </si>
  <si>
    <t>cc-28-aa-33-5c-f5</t>
  </si>
  <si>
    <t>cc-28-aa-33-5d-8c</t>
  </si>
  <si>
    <t>cc-28-aa-33-bf-2b</t>
  </si>
  <si>
    <t>cc-28-aa-33-bf-99</t>
  </si>
  <si>
    <t>d0-ad-08-c9-fa-2e</t>
  </si>
  <si>
    <t>d0-bf-9c-33-df-5f</t>
  </si>
  <si>
    <t>d2-57-91-c0-ff-42</t>
  </si>
  <si>
    <t>d4-be-d9-bc-3e-81</t>
  </si>
  <si>
    <t>d8-5e-d3-47-76-56</t>
  </si>
  <si>
    <t>d8-5e-d3-47-78-9d</t>
  </si>
  <si>
    <t>d8-5e-d3-94-4d-c9</t>
  </si>
  <si>
    <t>d8-5e-d3-94-5e-05</t>
  </si>
  <si>
    <t>d8-5e-d3-94-5e-07</t>
  </si>
  <si>
    <t>dc-4a-3e-b5-39-26</t>
  </si>
  <si>
    <t>dc-4a-3e-b5-91-c0</t>
  </si>
  <si>
    <t>dc-4e-f4-2d-d4-80</t>
  </si>
  <si>
    <t>dc-4e-f4-2d-fb-a8</t>
  </si>
  <si>
    <t>dc-4e-f4-2e-10-2a</t>
  </si>
  <si>
    <t>dc-4e-f4-2e-42-26</t>
  </si>
  <si>
    <t>dc-c2-c9-5c-19-d5</t>
  </si>
  <si>
    <t>e0-69-95-07-52-af</t>
  </si>
  <si>
    <t>e0-91-f5-f6-f1-87</t>
  </si>
  <si>
    <t>e0-d5-5e-07-d8-b7</t>
  </si>
  <si>
    <t>e0-d5-5e-15-4c-40</t>
  </si>
  <si>
    <t>e0-d5-5e-15-4f-6d</t>
  </si>
  <si>
    <t>e0-d5-5e-57-c0-84</t>
  </si>
  <si>
    <t>e4-11-5b-bc-c0-22</t>
  </si>
  <si>
    <t>e6-79-5e-88-73-28</t>
  </si>
  <si>
    <t>e8-9c-25-2a-5e-b5</t>
  </si>
  <si>
    <t>e8-9c-25-2a-60-04</t>
  </si>
  <si>
    <t>e8-9c-25-2a-78-c9</t>
  </si>
  <si>
    <t>e8-9c-25-2a-81-c8</t>
  </si>
  <si>
    <t>e8-9c-25-2a-82-e7</t>
  </si>
  <si>
    <t>e8-9c-25-2a-82-ee</t>
  </si>
  <si>
    <t>e8-9c-25-2a-82-f8</t>
  </si>
  <si>
    <t>e8-9c-25-2a-84-2d</t>
  </si>
  <si>
    <t>e8-9c-25-2a-84-8c</t>
  </si>
  <si>
    <t>e8-9c-25-2a-84-9d</t>
  </si>
  <si>
    <t>e8-9c-25-2b-97-20</t>
  </si>
  <si>
    <t>e8-9c-25-2b-98-46</t>
  </si>
  <si>
    <t>e8-9c-25-a3-bd-62</t>
  </si>
  <si>
    <t>e8-9c-25-a3-bd-f1</t>
  </si>
  <si>
    <t>e8-9f-80-78-db-0b</t>
  </si>
  <si>
    <t>e8-9f-80-78-db-3f</t>
  </si>
  <si>
    <t>f0-76-1c-de-71-00</t>
  </si>
  <si>
    <t>f0-76-1c-de-71-0f</t>
  </si>
  <si>
    <t>f0-76-1c-e4-d4-77</t>
  </si>
  <si>
    <t>f4-b5-20-2f-33-7a</t>
  </si>
  <si>
    <t>f4-b5-20-3f-3a-38</t>
  </si>
  <si>
    <t>f8-a2-6d-e1-1f-5c</t>
  </si>
  <si>
    <t>fc-aa-14-08-af-50</t>
  </si>
  <si>
    <t>fc-aa-14-62-7a-59</t>
  </si>
  <si>
    <t>fc-aa-14-69-f8-5e</t>
  </si>
  <si>
    <t>ff-ff-ff-ff-ff-ff</t>
  </si>
  <si>
    <t xml:space="preserve">-3d-2d-4c-03-31  </t>
  </si>
  <si>
    <t>FECHA DE PAGO</t>
  </si>
  <si>
    <t>TIPO MOVIMIENTO</t>
  </si>
  <si>
    <t>RECIBO</t>
  </si>
  <si>
    <t>PERIODO</t>
  </si>
  <si>
    <t>OPER.</t>
  </si>
  <si>
    <t>F-6</t>
  </si>
  <si>
    <t>CAJERA</t>
  </si>
  <si>
    <t>T. ORIGINAL</t>
  </si>
  <si>
    <t>T. PAGADO</t>
  </si>
  <si>
    <t>1 RECIBOS NORMALES</t>
  </si>
  <si>
    <t>APA APLICACION DE RECIBOS ANTICIPADOS</t>
  </si>
  <si>
    <t>50 PAGO ANUALIZADO</t>
  </si>
  <si>
    <t>B23 TARJETA DE CREDITO (BANCOMER)</t>
  </si>
  <si>
    <t>3 RECIBOS REQUERIDOS</t>
  </si>
  <si>
    <t>C83 CONDONA ADEUDOS DESASTRE NATURAL</t>
  </si>
  <si>
    <t>B31 TARJETA DE CREDITO (BANCOMER)APP</t>
  </si>
  <si>
    <t>B28 BANAMEX VENTANILLA</t>
  </si>
  <si>
    <t>VJG C.ANA VANESSA JIMENEZ GALEANA.</t>
  </si>
  <si>
    <t>26 REPARACION DE MEDIDOR</t>
  </si>
  <si>
    <t>arp -a</t>
  </si>
  <si>
    <t>en la rama 1,</t>
  </si>
  <si>
    <t>en la rama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</si>
</sst>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" fontId="0" fillId="0" borderId="0" xfId="0" applyNumberFormat="1"/>
    <xf numFmtId="14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4" fontId="0" fillId="4" borderId="0" xfId="0" applyNumberFormat="1" applyFill="1"/>
    <xf numFmtId="44" fontId="2" fillId="0" borderId="0" xfId="1" applyFont="1" applyAlignment="1">
      <alignment horizontal="center" vertical="center" wrapText="1"/>
    </xf>
    <xf numFmtId="44" fontId="3" fillId="0" borderId="0" xfId="1" applyFont="1" applyAlignment="1">
      <alignment vertical="center" wrapText="1"/>
    </xf>
    <xf numFmtId="44" fontId="3" fillId="2" borderId="0" xfId="1" applyFont="1" applyFill="1" applyAlignment="1">
      <alignment vertical="center" wrapText="1"/>
    </xf>
    <xf numFmtId="44" fontId="3" fillId="0" borderId="1" xfId="1" applyFont="1" applyBorder="1" applyAlignment="1">
      <alignment vertical="center" wrapText="1"/>
    </xf>
    <xf numFmtId="44" fontId="0" fillId="0" borderId="0" xfId="1" applyFont="1"/>
    <xf numFmtId="44" fontId="2" fillId="5" borderId="0" xfId="1" applyFont="1" applyFill="1" applyAlignment="1">
      <alignment horizontal="center" vertical="center" wrapText="1"/>
    </xf>
    <xf numFmtId="44" fontId="3" fillId="5" borderId="0" xfId="1" applyFont="1" applyFill="1" applyAlignment="1">
      <alignment vertical="center" wrapText="1"/>
    </xf>
    <xf numFmtId="44" fontId="3" fillId="5" borderId="1" xfId="1" applyFont="1" applyFill="1" applyBorder="1" applyAlignment="1">
      <alignment vertical="center" wrapText="1"/>
    </xf>
    <xf numFmtId="44" fontId="0" fillId="5" borderId="0" xfId="1" applyFont="1" applyFill="1"/>
    <xf numFmtId="44" fontId="0" fillId="0" borderId="0" xfId="0" applyNumberFormat="1"/>
    <xf numFmtId="44" fontId="0" fillId="2" borderId="1" xfId="0" applyNumberFormat="1" applyFill="1" applyBorder="1"/>
    <xf numFmtId="1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4" fontId="3" fillId="2" borderId="1" xfId="1" applyFont="1" applyFill="1" applyBorder="1" applyAlignment="1">
      <alignment vertical="center" wrapText="1"/>
    </xf>
    <xf numFmtId="0" fontId="0" fillId="6" borderId="0" xfId="0" applyFill="1"/>
    <xf numFmtId="0" fontId="0" fillId="7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EBC7-F76B-445C-A052-55231E07A4B8}">
  <dimension ref="A1:K281"/>
  <sheetViews>
    <sheetView tabSelected="1" workbookViewId="0">
      <selection activeCell="K25" sqref="K25"/>
    </sheetView>
  </sheetViews>
  <sheetFormatPr baseColWidth="10" defaultRowHeight="15" x14ac:dyDescent="0.25"/>
  <cols>
    <col min="1" max="1" width="45.28515625" bestFit="1" customWidth="1"/>
    <col min="3" max="3" width="15.5703125" bestFit="1" customWidth="1"/>
    <col min="4" max="4" width="18.7109375" bestFit="1" customWidth="1"/>
    <col min="6" max="6" width="15.5703125" bestFit="1" customWidth="1"/>
    <col min="7" max="7" width="18.7109375" bestFit="1" customWidth="1"/>
    <col min="8" max="8" width="17.140625" bestFit="1" customWidth="1"/>
  </cols>
  <sheetData>
    <row r="1" spans="1:11" s="1" customFormat="1" x14ac:dyDescent="0.25">
      <c r="A1" s="1" t="s">
        <v>739</v>
      </c>
      <c r="F1" s="1" t="s">
        <v>483</v>
      </c>
      <c r="G1" s="1" t="s">
        <v>484</v>
      </c>
    </row>
    <row r="2" spans="1:11" s="1" customFormat="1" x14ac:dyDescent="0.25">
      <c r="A2" s="1" t="s">
        <v>0</v>
      </c>
      <c r="C2" s="1" t="str">
        <f>MID(A2,1,14)</f>
        <v>169.254.29.113</v>
      </c>
      <c r="D2" s="1" t="str">
        <f>MID(A2,22,20)</f>
        <v xml:space="preserve"> 18-3d-2d-4c-03-31  </v>
      </c>
      <c r="F2" s="1" t="s">
        <v>388</v>
      </c>
      <c r="G2" s="1" t="s">
        <v>485</v>
      </c>
    </row>
    <row r="3" spans="1:11" s="1" customFormat="1" x14ac:dyDescent="0.25">
      <c r="A3" s="1" t="s">
        <v>1</v>
      </c>
      <c r="C3" s="1" t="str">
        <f t="shared" ref="C3:C66" si="0">MID(A3,1,14)</f>
        <v xml:space="preserve">  192.168.3.1 </v>
      </c>
      <c r="D3" s="1" t="str">
        <f t="shared" ref="D3:D66" si="1">MID(A3,22,20)</f>
        <v xml:space="preserve">   08-3a-88-19-1f-97</v>
      </c>
      <c r="F3" s="1" t="s">
        <v>454</v>
      </c>
      <c r="G3" s="1" t="s">
        <v>486</v>
      </c>
    </row>
    <row r="4" spans="1:11" s="1" customFormat="1" x14ac:dyDescent="0.25">
      <c r="A4" s="1" t="s">
        <v>2</v>
      </c>
      <c r="C4" s="1" t="str">
        <f t="shared" si="0"/>
        <v xml:space="preserve">  192.168.3.3 </v>
      </c>
      <c r="D4" s="1" t="str">
        <f t="shared" si="1"/>
        <v xml:space="preserve">   dc-4e-f4-2e-10-2a</v>
      </c>
      <c r="F4" s="1" t="s">
        <v>322</v>
      </c>
      <c r="G4" s="1" t="s">
        <v>487</v>
      </c>
      <c r="K4" s="1" t="s">
        <v>740</v>
      </c>
    </row>
    <row r="5" spans="1:11" s="1" customFormat="1" x14ac:dyDescent="0.25">
      <c r="A5" s="1" t="s">
        <v>3</v>
      </c>
      <c r="C5" s="1" t="str">
        <f t="shared" si="0"/>
        <v xml:space="preserve">  192.168.3.4 </v>
      </c>
      <c r="D5" s="1" t="str">
        <f t="shared" si="1"/>
        <v xml:space="preserve">   88-ae-dd-07-ba-1e</v>
      </c>
      <c r="F5" s="1" t="s">
        <v>309</v>
      </c>
      <c r="G5" s="1" t="s">
        <v>488</v>
      </c>
    </row>
    <row r="6" spans="1:11" s="1" customFormat="1" x14ac:dyDescent="0.25">
      <c r="A6" s="1" t="s">
        <v>4</v>
      </c>
      <c r="C6" s="1" t="str">
        <f t="shared" si="0"/>
        <v xml:space="preserve">  192.168.3.5 </v>
      </c>
      <c r="D6" s="1" t="str">
        <f t="shared" si="1"/>
        <v xml:space="preserve">   b0-cc-fe-92-00-9a</v>
      </c>
      <c r="F6" s="1" t="s">
        <v>360</v>
      </c>
      <c r="G6" s="1" t="s">
        <v>489</v>
      </c>
    </row>
    <row r="7" spans="1:11" s="1" customFormat="1" x14ac:dyDescent="0.25">
      <c r="A7" s="1" t="s">
        <v>5</v>
      </c>
      <c r="C7" s="1" t="str">
        <f t="shared" si="0"/>
        <v xml:space="preserve">  192.168.3.7 </v>
      </c>
      <c r="D7" s="1" t="str">
        <f t="shared" si="1"/>
        <v xml:space="preserve">   94-de-80-2f-37-ed</v>
      </c>
      <c r="F7" s="1" t="s">
        <v>435</v>
      </c>
      <c r="G7" s="1" t="s">
        <v>490</v>
      </c>
    </row>
    <row r="8" spans="1:11" s="1" customFormat="1" x14ac:dyDescent="0.25">
      <c r="A8" s="1" t="s">
        <v>6</v>
      </c>
      <c r="C8" s="1" t="str">
        <f t="shared" si="0"/>
        <v xml:space="preserve">  192.168.3.8 </v>
      </c>
      <c r="D8" s="1" t="str">
        <f t="shared" si="1"/>
        <v xml:space="preserve">   1c-66-6d-92-99-89</v>
      </c>
      <c r="F8" s="1" t="s">
        <v>469</v>
      </c>
      <c r="G8" s="1" t="s">
        <v>491</v>
      </c>
    </row>
    <row r="9" spans="1:11" s="1" customFormat="1" x14ac:dyDescent="0.25">
      <c r="A9" s="1" t="s">
        <v>7</v>
      </c>
      <c r="C9" s="1" t="str">
        <f t="shared" si="0"/>
        <v xml:space="preserve">  192.168.3.9 </v>
      </c>
      <c r="D9" s="1" t="str">
        <f t="shared" si="1"/>
        <v xml:space="preserve">   cc-28-aa-33-17-18</v>
      </c>
      <c r="F9" s="1" t="s">
        <v>323</v>
      </c>
      <c r="G9" s="1" t="s">
        <v>492</v>
      </c>
    </row>
    <row r="10" spans="1:11" s="1" customFormat="1" x14ac:dyDescent="0.25">
      <c r="A10" s="1" t="s">
        <v>8</v>
      </c>
      <c r="C10" s="1" t="str">
        <f t="shared" si="0"/>
        <v xml:space="preserve">  192.168.3.10</v>
      </c>
      <c r="D10" s="1" t="str">
        <f t="shared" si="1"/>
        <v xml:space="preserve">   38-60-77-8a-93-9e</v>
      </c>
      <c r="F10" s="1" t="s">
        <v>448</v>
      </c>
      <c r="G10" s="1" t="s">
        <v>493</v>
      </c>
    </row>
    <row r="11" spans="1:11" s="27" customFormat="1" x14ac:dyDescent="0.25">
      <c r="A11" s="27" t="s">
        <v>9</v>
      </c>
      <c r="C11" s="27" t="str">
        <f t="shared" si="0"/>
        <v xml:space="preserve">  192.168.3.11</v>
      </c>
      <c r="D11" s="27" t="str">
        <f t="shared" si="1"/>
        <v xml:space="preserve">   28-87-ba-42-53-fb</v>
      </c>
      <c r="F11" s="27" t="s">
        <v>313</v>
      </c>
      <c r="G11" s="27" t="s">
        <v>494</v>
      </c>
    </row>
    <row r="12" spans="1:11" s="27" customFormat="1" x14ac:dyDescent="0.25">
      <c r="A12" s="27" t="s">
        <v>10</v>
      </c>
      <c r="C12" s="27" t="str">
        <f t="shared" si="0"/>
        <v xml:space="preserve">  192.168.3.12</v>
      </c>
      <c r="D12" s="27" t="str">
        <f t="shared" si="1"/>
        <v xml:space="preserve">   dc-4e-f4-2d-fb-a8</v>
      </c>
      <c r="F12" s="27" t="s">
        <v>391</v>
      </c>
      <c r="G12" s="27" t="s">
        <v>495</v>
      </c>
    </row>
    <row r="13" spans="1:11" s="27" customFormat="1" x14ac:dyDescent="0.25">
      <c r="A13" s="27" t="s">
        <v>11</v>
      </c>
      <c r="C13" s="27" t="str">
        <f t="shared" si="0"/>
        <v xml:space="preserve">  192.168.3.13</v>
      </c>
      <c r="D13" s="27" t="str">
        <f t="shared" si="1"/>
        <v xml:space="preserve">   e0-d5-5e-57-c0-84</v>
      </c>
      <c r="F13" s="27" t="s">
        <v>337</v>
      </c>
      <c r="G13" s="27" t="s">
        <v>496</v>
      </c>
    </row>
    <row r="14" spans="1:11" s="27" customFormat="1" x14ac:dyDescent="0.25">
      <c r="A14" s="27" t="s">
        <v>12</v>
      </c>
      <c r="C14" s="27" t="str">
        <f t="shared" si="0"/>
        <v xml:space="preserve">  192.168.3.14</v>
      </c>
      <c r="D14" s="27" t="str">
        <f t="shared" si="1"/>
        <v xml:space="preserve">   dc-4e-f4-2e-42-26</v>
      </c>
      <c r="F14" s="27" t="s">
        <v>280</v>
      </c>
      <c r="G14" s="27" t="s">
        <v>497</v>
      </c>
    </row>
    <row r="15" spans="1:11" s="27" customFormat="1" x14ac:dyDescent="0.25">
      <c r="A15" s="27" t="s">
        <v>13</v>
      </c>
      <c r="C15" s="27" t="str">
        <f t="shared" si="0"/>
        <v xml:space="preserve">  192.168.3.15</v>
      </c>
      <c r="D15" s="27" t="str">
        <f t="shared" si="1"/>
        <v xml:space="preserve">   90-2b-34-13-f0-00</v>
      </c>
      <c r="F15" s="27" t="s">
        <v>261</v>
      </c>
      <c r="G15" s="27" t="s">
        <v>498</v>
      </c>
    </row>
    <row r="16" spans="1:11" s="27" customFormat="1" x14ac:dyDescent="0.25">
      <c r="A16" s="27" t="s">
        <v>14</v>
      </c>
      <c r="C16" s="27" t="str">
        <f t="shared" si="0"/>
        <v xml:space="preserve">  192.168.3.16</v>
      </c>
      <c r="D16" s="27" t="str">
        <f t="shared" si="1"/>
        <v xml:space="preserve">   18-3d-2d-4c-00-98</v>
      </c>
      <c r="F16" s="27" t="s">
        <v>470</v>
      </c>
      <c r="G16" s="27" t="s">
        <v>499</v>
      </c>
      <c r="K16" s="27" t="s">
        <v>741</v>
      </c>
    </row>
    <row r="17" spans="1:11" s="27" customFormat="1" x14ac:dyDescent="0.25">
      <c r="A17" s="27" t="s">
        <v>15</v>
      </c>
      <c r="C17" s="27" t="str">
        <f t="shared" si="0"/>
        <v xml:space="preserve">  192.168.3.17</v>
      </c>
      <c r="D17" s="27" t="str">
        <f t="shared" si="1"/>
        <v xml:space="preserve">   00-71-c2-3e-7a-8f</v>
      </c>
      <c r="F17" s="27" t="s">
        <v>397</v>
      </c>
      <c r="G17" s="27" t="s">
        <v>500</v>
      </c>
    </row>
    <row r="18" spans="1:11" s="27" customFormat="1" x14ac:dyDescent="0.25">
      <c r="A18" s="27" t="s">
        <v>16</v>
      </c>
      <c r="C18" s="27" t="str">
        <f t="shared" si="0"/>
        <v xml:space="preserve">  192.168.3.18</v>
      </c>
      <c r="D18" s="27" t="str">
        <f t="shared" si="1"/>
        <v xml:space="preserve">   18-3d-2d-4c-00-f6</v>
      </c>
      <c r="F18" s="27" t="s">
        <v>465</v>
      </c>
      <c r="G18" s="27" t="s">
        <v>501</v>
      </c>
    </row>
    <row r="19" spans="1:11" s="27" customFormat="1" x14ac:dyDescent="0.25">
      <c r="A19" s="27" t="s">
        <v>17</v>
      </c>
      <c r="C19" s="27" t="str">
        <f t="shared" si="0"/>
        <v xml:space="preserve">  192.168.3.19</v>
      </c>
      <c r="D19" s="27" t="str">
        <f t="shared" si="1"/>
        <v xml:space="preserve">   74-fe-ce-6e-66-0b</v>
      </c>
      <c r="F19" s="27" t="s">
        <v>417</v>
      </c>
      <c r="G19" s="27" t="s">
        <v>502</v>
      </c>
    </row>
    <row r="20" spans="1:11" s="27" customFormat="1" x14ac:dyDescent="0.25">
      <c r="A20" s="27" t="s">
        <v>18</v>
      </c>
      <c r="C20" s="27" t="str">
        <f t="shared" si="0"/>
        <v xml:space="preserve">  192.168.3.20</v>
      </c>
      <c r="D20" s="27" t="str">
        <f t="shared" si="1"/>
        <v xml:space="preserve">   e4-11-5b-bc-c0-22</v>
      </c>
      <c r="F20" s="27" t="s">
        <v>466</v>
      </c>
      <c r="G20" s="27" t="s">
        <v>503</v>
      </c>
    </row>
    <row r="21" spans="1:11" s="28" customFormat="1" x14ac:dyDescent="0.25">
      <c r="A21" s="28" t="s">
        <v>19</v>
      </c>
      <c r="C21" s="28" t="str">
        <f t="shared" si="0"/>
        <v xml:space="preserve">  192.168.3.21</v>
      </c>
      <c r="D21" s="28" t="str">
        <f t="shared" si="1"/>
        <v xml:space="preserve">   1c-1b-0d-c8-87-d0</v>
      </c>
      <c r="F21" s="28" t="s">
        <v>271</v>
      </c>
      <c r="G21" s="28" t="s">
        <v>503</v>
      </c>
    </row>
    <row r="22" spans="1:11" s="28" customFormat="1" x14ac:dyDescent="0.25">
      <c r="A22" s="28" t="s">
        <v>20</v>
      </c>
      <c r="C22" s="28" t="str">
        <f t="shared" si="0"/>
        <v xml:space="preserve">  192.168.3.22</v>
      </c>
      <c r="D22" s="28" t="str">
        <f t="shared" si="1"/>
        <v xml:space="preserve">   cc-28-aa-33-06-e0</v>
      </c>
      <c r="F22" s="28" t="s">
        <v>267</v>
      </c>
      <c r="G22" s="28" t="s">
        <v>504</v>
      </c>
    </row>
    <row r="23" spans="1:11" s="28" customFormat="1" x14ac:dyDescent="0.25">
      <c r="A23" s="28" t="s">
        <v>21</v>
      </c>
      <c r="C23" s="28" t="str">
        <f t="shared" si="0"/>
        <v xml:space="preserve">  192.168.3.23</v>
      </c>
      <c r="D23" s="28" t="str">
        <f t="shared" si="1"/>
        <v xml:space="preserve">   00-e0-4d-a9-5c-e2</v>
      </c>
      <c r="F23" s="28" t="s">
        <v>472</v>
      </c>
      <c r="G23" s="28" t="s">
        <v>505</v>
      </c>
    </row>
    <row r="24" spans="1:11" s="28" customFormat="1" x14ac:dyDescent="0.25">
      <c r="A24" s="28" t="s">
        <v>22</v>
      </c>
      <c r="C24" s="28" t="str">
        <f t="shared" si="0"/>
        <v xml:space="preserve">  192.168.3.25</v>
      </c>
      <c r="D24" s="28" t="str">
        <f t="shared" si="1"/>
        <v xml:space="preserve">   18-3d-2d-4c-00-63</v>
      </c>
      <c r="F24" s="28" t="s">
        <v>473</v>
      </c>
      <c r="G24" s="28" t="s">
        <v>506</v>
      </c>
    </row>
    <row r="25" spans="1:11" s="28" customFormat="1" x14ac:dyDescent="0.25">
      <c r="A25" s="28" t="s">
        <v>23</v>
      </c>
      <c r="C25" s="28" t="str">
        <f t="shared" si="0"/>
        <v xml:space="preserve">  192.168.3.26</v>
      </c>
      <c r="D25" s="28" t="str">
        <f t="shared" si="1"/>
        <v xml:space="preserve">   9c-b6-54-bb-6f-94</v>
      </c>
      <c r="F25" s="28" t="s">
        <v>474</v>
      </c>
      <c r="G25" s="28" t="s">
        <v>507</v>
      </c>
      <c r="K25" s="28" t="s">
        <v>741</v>
      </c>
    </row>
    <row r="26" spans="1:11" s="28" customFormat="1" x14ac:dyDescent="0.25">
      <c r="A26" s="28" t="s">
        <v>24</v>
      </c>
      <c r="C26" s="28" t="str">
        <f t="shared" si="0"/>
        <v xml:space="preserve">  192.168.3.27</v>
      </c>
      <c r="D26" s="28" t="str">
        <f t="shared" si="1"/>
        <v xml:space="preserve">   cc-28-aa-33-38-52</v>
      </c>
      <c r="F26" s="28" t="s">
        <v>475</v>
      </c>
      <c r="G26" s="28" t="s">
        <v>508</v>
      </c>
    </row>
    <row r="27" spans="1:11" s="28" customFormat="1" x14ac:dyDescent="0.25">
      <c r="A27" s="28" t="s">
        <v>25</v>
      </c>
      <c r="C27" s="28" t="str">
        <f t="shared" si="0"/>
        <v xml:space="preserve">  192.168.3.28</v>
      </c>
      <c r="D27" s="28" t="str">
        <f t="shared" si="1"/>
        <v xml:space="preserve">   00-e0-4c-68-0a-e0</v>
      </c>
      <c r="F27" s="28" t="s">
        <v>476</v>
      </c>
      <c r="G27" s="28" t="s">
        <v>509</v>
      </c>
    </row>
    <row r="28" spans="1:11" s="28" customFormat="1" x14ac:dyDescent="0.25">
      <c r="A28" s="28" t="s">
        <v>26</v>
      </c>
      <c r="C28" s="28" t="str">
        <f t="shared" si="0"/>
        <v xml:space="preserve">  192.168.3.29</v>
      </c>
      <c r="D28" s="28" t="str">
        <f t="shared" si="1"/>
        <v xml:space="preserve">   cc-28-aa-32-f0-42</v>
      </c>
      <c r="F28" s="28" t="s">
        <v>477</v>
      </c>
      <c r="G28" s="28" t="s">
        <v>510</v>
      </c>
    </row>
    <row r="29" spans="1:11" s="28" customFormat="1" x14ac:dyDescent="0.25">
      <c r="A29" s="28" t="s">
        <v>27</v>
      </c>
      <c r="C29" s="28" t="str">
        <f t="shared" si="0"/>
        <v xml:space="preserve">  192.168.3.30</v>
      </c>
      <c r="D29" s="28" t="str">
        <f t="shared" si="1"/>
        <v xml:space="preserve">   4c-cc-6a-7b-98-69</v>
      </c>
      <c r="F29" s="28" t="s">
        <v>478</v>
      </c>
      <c r="G29" s="28" t="s">
        <v>511</v>
      </c>
    </row>
    <row r="30" spans="1:11" s="28" customFormat="1" x14ac:dyDescent="0.25">
      <c r="A30" s="28" t="s">
        <v>28</v>
      </c>
      <c r="C30" s="28" t="str">
        <f t="shared" si="0"/>
        <v xml:space="preserve">  192.168.3.31</v>
      </c>
      <c r="D30" s="28" t="str">
        <f t="shared" si="1"/>
        <v xml:space="preserve">   40-8d-5c-80-c6-f2</v>
      </c>
      <c r="F30" s="28" t="s">
        <v>479</v>
      </c>
      <c r="G30" s="28" t="s">
        <v>512</v>
      </c>
    </row>
    <row r="31" spans="1:11" x14ac:dyDescent="0.25">
      <c r="A31" t="s">
        <v>29</v>
      </c>
      <c r="C31" t="str">
        <f t="shared" si="0"/>
        <v xml:space="preserve">  192.168.3.32</v>
      </c>
      <c r="D31" t="str">
        <f t="shared" si="1"/>
        <v xml:space="preserve">   40-8d-5c-c0-24-8c</v>
      </c>
      <c r="F31" t="s">
        <v>480</v>
      </c>
      <c r="G31" t="s">
        <v>513</v>
      </c>
    </row>
    <row r="32" spans="1:11" x14ac:dyDescent="0.25">
      <c r="A32" t="s">
        <v>30</v>
      </c>
      <c r="C32" t="str">
        <f t="shared" si="0"/>
        <v xml:space="preserve">  192.168.3.33</v>
      </c>
      <c r="D32" t="str">
        <f t="shared" si="1"/>
        <v xml:space="preserve">   d8-5e-d3-94-5e-07</v>
      </c>
      <c r="F32" t="s">
        <v>481</v>
      </c>
      <c r="G32" t="s">
        <v>514</v>
      </c>
    </row>
    <row r="33" spans="1:7" x14ac:dyDescent="0.25">
      <c r="A33" t="s">
        <v>31</v>
      </c>
      <c r="C33" t="str">
        <f t="shared" si="0"/>
        <v xml:space="preserve">  192.168.3.34</v>
      </c>
      <c r="D33" t="str">
        <f t="shared" si="1"/>
        <v xml:space="preserve">   b0-7b-25-1d-36-5a</v>
      </c>
      <c r="F33" t="s">
        <v>482</v>
      </c>
      <c r="G33" t="s">
        <v>515</v>
      </c>
    </row>
    <row r="34" spans="1:7" x14ac:dyDescent="0.25">
      <c r="A34" t="s">
        <v>32</v>
      </c>
      <c r="C34" t="str">
        <f t="shared" si="0"/>
        <v xml:space="preserve">  192.168.3.35</v>
      </c>
      <c r="D34" t="str">
        <f t="shared" si="1"/>
        <v xml:space="preserve">   40-8d-5c-c4-82-f0</v>
      </c>
      <c r="F34" t="s">
        <v>440</v>
      </c>
      <c r="G34" t="s">
        <v>516</v>
      </c>
    </row>
    <row r="35" spans="1:7" x14ac:dyDescent="0.25">
      <c r="A35" t="s">
        <v>33</v>
      </c>
      <c r="C35" t="str">
        <f t="shared" si="0"/>
        <v xml:space="preserve">  192.168.3.36</v>
      </c>
      <c r="D35" t="str">
        <f t="shared" si="1"/>
        <v xml:space="preserve">   40-8d-5c-76-f1-ff</v>
      </c>
      <c r="F35" t="s">
        <v>372</v>
      </c>
      <c r="G35" t="s">
        <v>517</v>
      </c>
    </row>
    <row r="36" spans="1:7" x14ac:dyDescent="0.25">
      <c r="A36" t="s">
        <v>34</v>
      </c>
      <c r="C36" t="str">
        <f t="shared" si="0"/>
        <v xml:space="preserve">  192.168.3.37</v>
      </c>
      <c r="D36" t="str">
        <f t="shared" si="1"/>
        <v xml:space="preserve">   00-25-ab-1b-6a-f5</v>
      </c>
      <c r="F36" t="s">
        <v>427</v>
      </c>
      <c r="G36" t="s">
        <v>518</v>
      </c>
    </row>
    <row r="37" spans="1:7" x14ac:dyDescent="0.25">
      <c r="A37" t="s">
        <v>35</v>
      </c>
      <c r="C37" t="str">
        <f t="shared" si="0"/>
        <v xml:space="preserve">  192.168.3.38</v>
      </c>
      <c r="D37" t="str">
        <f t="shared" si="1"/>
        <v xml:space="preserve">   bc-5f-f4-c6-2e-2e</v>
      </c>
      <c r="F37" t="s">
        <v>370</v>
      </c>
      <c r="G37" t="s">
        <v>519</v>
      </c>
    </row>
    <row r="38" spans="1:7" x14ac:dyDescent="0.25">
      <c r="A38" t="s">
        <v>36</v>
      </c>
      <c r="C38" t="str">
        <f t="shared" si="0"/>
        <v xml:space="preserve">  192.168.3.39</v>
      </c>
      <c r="D38" t="str">
        <f t="shared" si="1"/>
        <v xml:space="preserve">   e0-91-f5-f6-f1-87</v>
      </c>
      <c r="F38" t="s">
        <v>311</v>
      </c>
      <c r="G38" t="s">
        <v>520</v>
      </c>
    </row>
    <row r="39" spans="1:7" x14ac:dyDescent="0.25">
      <c r="A39" t="s">
        <v>37</v>
      </c>
      <c r="C39" t="str">
        <f t="shared" si="0"/>
        <v xml:space="preserve">  192.168.3.40</v>
      </c>
      <c r="D39" t="str">
        <f t="shared" si="1"/>
        <v xml:space="preserve">   f4-b5-20-2f-33-7a</v>
      </c>
      <c r="F39" t="s">
        <v>247</v>
      </c>
      <c r="G39" t="s">
        <v>521</v>
      </c>
    </row>
    <row r="40" spans="1:7" x14ac:dyDescent="0.25">
      <c r="A40" t="s">
        <v>38</v>
      </c>
      <c r="C40" t="str">
        <f t="shared" si="0"/>
        <v xml:space="preserve">  192.168.3.41</v>
      </c>
      <c r="D40" t="str">
        <f t="shared" si="1"/>
        <v xml:space="preserve">   d4-be-d9-bc-3e-81</v>
      </c>
      <c r="F40" t="s">
        <v>384</v>
      </c>
      <c r="G40" t="s">
        <v>522</v>
      </c>
    </row>
    <row r="41" spans="1:7" x14ac:dyDescent="0.25">
      <c r="A41" t="s">
        <v>39</v>
      </c>
      <c r="C41" t="str">
        <f t="shared" si="0"/>
        <v xml:space="preserve">  192.168.3.43</v>
      </c>
      <c r="D41" t="str">
        <f t="shared" si="1"/>
        <v xml:space="preserve">   dc-c2-c9-5c-19-d5</v>
      </c>
      <c r="F41" t="s">
        <v>336</v>
      </c>
      <c r="G41" t="s">
        <v>523</v>
      </c>
    </row>
    <row r="42" spans="1:7" x14ac:dyDescent="0.25">
      <c r="A42" t="s">
        <v>40</v>
      </c>
      <c r="C42" t="str">
        <f t="shared" si="0"/>
        <v xml:space="preserve">  192.168.3.44</v>
      </c>
      <c r="D42" t="str">
        <f t="shared" si="1"/>
        <v xml:space="preserve">   e0-69-95-07-52-af</v>
      </c>
      <c r="F42" t="s">
        <v>425</v>
      </c>
      <c r="G42" t="s">
        <v>524</v>
      </c>
    </row>
    <row r="43" spans="1:7" x14ac:dyDescent="0.25">
      <c r="A43" t="s">
        <v>41</v>
      </c>
      <c r="C43" t="str">
        <f t="shared" si="0"/>
        <v xml:space="preserve">  192.168.3.45</v>
      </c>
      <c r="D43" t="str">
        <f t="shared" si="1"/>
        <v xml:space="preserve">   bc-5f-f4-c6-2d-98</v>
      </c>
      <c r="F43" t="s">
        <v>296</v>
      </c>
      <c r="G43" t="s">
        <v>525</v>
      </c>
    </row>
    <row r="44" spans="1:7" x14ac:dyDescent="0.25">
      <c r="A44" t="s">
        <v>42</v>
      </c>
      <c r="C44" t="str">
        <f t="shared" si="0"/>
        <v xml:space="preserve">  192.168.3.46</v>
      </c>
      <c r="D44" t="str">
        <f t="shared" si="1"/>
        <v xml:space="preserve">   e8-9c-25-2a-5e-b5</v>
      </c>
      <c r="F44" t="s">
        <v>430</v>
      </c>
      <c r="G44" t="s">
        <v>526</v>
      </c>
    </row>
    <row r="45" spans="1:7" x14ac:dyDescent="0.25">
      <c r="A45" t="s">
        <v>43</v>
      </c>
      <c r="C45" t="str">
        <f t="shared" si="0"/>
        <v xml:space="preserve">  192.168.3.47</v>
      </c>
      <c r="D45" t="str">
        <f t="shared" si="1"/>
        <v xml:space="preserve">   b0-7b-25-22-ca-89</v>
      </c>
      <c r="F45" t="s">
        <v>314</v>
      </c>
      <c r="G45" t="s">
        <v>527</v>
      </c>
    </row>
    <row r="46" spans="1:7" x14ac:dyDescent="0.25">
      <c r="A46" t="s">
        <v>44</v>
      </c>
      <c r="C46" t="str">
        <f t="shared" si="0"/>
        <v xml:space="preserve">  192.168.3.48</v>
      </c>
      <c r="D46" t="str">
        <f t="shared" si="1"/>
        <v xml:space="preserve">   cc-28-aa-33-5d-8c</v>
      </c>
      <c r="F46" t="s">
        <v>268</v>
      </c>
      <c r="G46" t="s">
        <v>528</v>
      </c>
    </row>
    <row r="47" spans="1:7" x14ac:dyDescent="0.25">
      <c r="A47" t="s">
        <v>45</v>
      </c>
      <c r="C47" t="str">
        <f t="shared" si="0"/>
        <v xml:space="preserve">  192.168.3.50</v>
      </c>
      <c r="D47" t="str">
        <f t="shared" si="1"/>
        <v xml:space="preserve">   a8-5e-45-31-22-2e</v>
      </c>
      <c r="F47" t="s">
        <v>260</v>
      </c>
      <c r="G47" t="s">
        <v>529</v>
      </c>
    </row>
    <row r="48" spans="1:7" x14ac:dyDescent="0.25">
      <c r="A48" t="s">
        <v>46</v>
      </c>
      <c r="C48" t="str">
        <f t="shared" si="0"/>
        <v xml:space="preserve">  192.168.3.51</v>
      </c>
      <c r="D48" t="str">
        <f t="shared" si="1"/>
        <v xml:space="preserve">   40-8d-5c-60-00-11</v>
      </c>
      <c r="F48" t="s">
        <v>262</v>
      </c>
      <c r="G48" t="s">
        <v>530</v>
      </c>
    </row>
    <row r="49" spans="1:7" x14ac:dyDescent="0.25">
      <c r="A49" t="s">
        <v>47</v>
      </c>
      <c r="C49" t="str">
        <f t="shared" si="0"/>
        <v xml:space="preserve">  192.168.3.52</v>
      </c>
      <c r="D49" t="str">
        <f t="shared" si="1"/>
        <v xml:space="preserve">   b0-7b-25-22-99-a1</v>
      </c>
      <c r="F49" t="s">
        <v>338</v>
      </c>
      <c r="G49" t="s">
        <v>531</v>
      </c>
    </row>
    <row r="50" spans="1:7" x14ac:dyDescent="0.25">
      <c r="A50" t="s">
        <v>48</v>
      </c>
      <c r="C50" t="str">
        <f t="shared" si="0"/>
        <v xml:space="preserve">  192.168.3.53</v>
      </c>
      <c r="D50" t="str">
        <f t="shared" si="1"/>
        <v xml:space="preserve">   bc-5f-f4-a8-06-85</v>
      </c>
      <c r="F50" t="s">
        <v>421</v>
      </c>
      <c r="G50" t="s">
        <v>532</v>
      </c>
    </row>
    <row r="51" spans="1:7" x14ac:dyDescent="0.25">
      <c r="A51" t="s">
        <v>49</v>
      </c>
      <c r="C51" t="str">
        <f t="shared" si="0"/>
        <v xml:space="preserve">  192.168.3.54</v>
      </c>
      <c r="D51" t="str">
        <f t="shared" si="1"/>
        <v xml:space="preserve">   40-8d-5c-80-c6-e3</v>
      </c>
      <c r="F51" t="s">
        <v>318</v>
      </c>
      <c r="G51" t="s">
        <v>533</v>
      </c>
    </row>
    <row r="52" spans="1:7" x14ac:dyDescent="0.25">
      <c r="A52" t="s">
        <v>50</v>
      </c>
      <c r="C52" t="str">
        <f t="shared" si="0"/>
        <v xml:space="preserve">  192.168.3.55</v>
      </c>
      <c r="D52" t="str">
        <f t="shared" si="1"/>
        <v xml:space="preserve">   10-78-d2-8d-8a-cd</v>
      </c>
      <c r="F52" t="s">
        <v>392</v>
      </c>
      <c r="G52" t="s">
        <v>534</v>
      </c>
    </row>
    <row r="53" spans="1:7" x14ac:dyDescent="0.25">
      <c r="A53" t="s">
        <v>51</v>
      </c>
      <c r="C53" t="str">
        <f t="shared" si="0"/>
        <v xml:space="preserve">  192.168.3.56</v>
      </c>
      <c r="D53" t="str">
        <f t="shared" si="1"/>
        <v xml:space="preserve">   e8-9c-25-a3-bd-f1</v>
      </c>
      <c r="F53" t="s">
        <v>434</v>
      </c>
      <c r="G53" t="s">
        <v>535</v>
      </c>
    </row>
    <row r="54" spans="1:7" x14ac:dyDescent="0.25">
      <c r="A54" t="s">
        <v>52</v>
      </c>
      <c r="C54" t="str">
        <f t="shared" si="0"/>
        <v xml:space="preserve">  192.168.3.57</v>
      </c>
      <c r="D54" t="str">
        <f t="shared" si="1"/>
        <v xml:space="preserve">   dc-4e-f4-2d-d4-80</v>
      </c>
      <c r="F54" t="s">
        <v>321</v>
      </c>
      <c r="G54" t="s">
        <v>536</v>
      </c>
    </row>
    <row r="55" spans="1:7" x14ac:dyDescent="0.25">
      <c r="A55" t="s">
        <v>53</v>
      </c>
      <c r="C55" t="str">
        <f t="shared" si="0"/>
        <v xml:space="preserve">  192.168.3.58</v>
      </c>
      <c r="D55" t="str">
        <f t="shared" si="1"/>
        <v xml:space="preserve">   cc-28-aa-33-0e-76</v>
      </c>
      <c r="F55" t="s">
        <v>433</v>
      </c>
      <c r="G55" t="s">
        <v>537</v>
      </c>
    </row>
    <row r="56" spans="1:7" x14ac:dyDescent="0.25">
      <c r="A56" t="s">
        <v>54</v>
      </c>
      <c r="C56" t="str">
        <f t="shared" si="0"/>
        <v xml:space="preserve">  192.168.3.59</v>
      </c>
      <c r="D56" t="str">
        <f t="shared" si="1"/>
        <v xml:space="preserve">   40-8d-5c-dd-46-06</v>
      </c>
      <c r="F56" t="s">
        <v>456</v>
      </c>
      <c r="G56" t="s">
        <v>538</v>
      </c>
    </row>
    <row r="57" spans="1:7" x14ac:dyDescent="0.25">
      <c r="A57" t="s">
        <v>55</v>
      </c>
      <c r="C57" t="str">
        <f t="shared" si="0"/>
        <v xml:space="preserve">  192.168.3.60</v>
      </c>
      <c r="D57" t="str">
        <f t="shared" si="1"/>
        <v xml:space="preserve">   d8-5e-d3-47-78-9d</v>
      </c>
      <c r="F57" t="s">
        <v>265</v>
      </c>
      <c r="G57" t="s">
        <v>539</v>
      </c>
    </row>
    <row r="58" spans="1:7" x14ac:dyDescent="0.25">
      <c r="A58" t="s">
        <v>56</v>
      </c>
      <c r="C58" t="str">
        <f t="shared" si="0"/>
        <v xml:space="preserve">  192.168.3.61</v>
      </c>
      <c r="D58" t="str">
        <f t="shared" si="1"/>
        <v xml:space="preserve">   38-1a-52-ea-a2-68</v>
      </c>
      <c r="F58" t="s">
        <v>252</v>
      </c>
      <c r="G58" t="s">
        <v>540</v>
      </c>
    </row>
    <row r="59" spans="1:7" x14ac:dyDescent="0.25">
      <c r="A59" t="s">
        <v>57</v>
      </c>
      <c r="C59" t="str">
        <f t="shared" si="0"/>
        <v xml:space="preserve">  192.168.3.62</v>
      </c>
      <c r="D59" t="str">
        <f t="shared" si="1"/>
        <v xml:space="preserve">   30-e1-71-3b-f0-98</v>
      </c>
      <c r="F59" t="s">
        <v>420</v>
      </c>
      <c r="G59" t="s">
        <v>541</v>
      </c>
    </row>
    <row r="60" spans="1:7" x14ac:dyDescent="0.25">
      <c r="A60" t="s">
        <v>58</v>
      </c>
      <c r="C60" t="str">
        <f t="shared" si="0"/>
        <v xml:space="preserve">  192.168.3.63</v>
      </c>
      <c r="D60" t="str">
        <f t="shared" si="1"/>
        <v xml:space="preserve">   bc-5f-f4-c5-76-0d</v>
      </c>
      <c r="F60" t="s">
        <v>351</v>
      </c>
      <c r="G60" t="s">
        <v>542</v>
      </c>
    </row>
    <row r="61" spans="1:7" x14ac:dyDescent="0.25">
      <c r="A61" t="s">
        <v>59</v>
      </c>
      <c r="C61" t="str">
        <f t="shared" si="0"/>
        <v xml:space="preserve">  192.168.3.64</v>
      </c>
      <c r="D61" t="str">
        <f t="shared" si="1"/>
        <v xml:space="preserve">   b0-7b-25-1f-b7-ab</v>
      </c>
      <c r="F61" t="s">
        <v>326</v>
      </c>
      <c r="G61" t="s">
        <v>543</v>
      </c>
    </row>
    <row r="62" spans="1:7" x14ac:dyDescent="0.25">
      <c r="A62" t="s">
        <v>60</v>
      </c>
      <c r="C62" t="str">
        <f t="shared" si="0"/>
        <v xml:space="preserve">  192.168.3.65</v>
      </c>
      <c r="D62" t="str">
        <f t="shared" si="1"/>
        <v xml:space="preserve">   b0-7b-25-22-ca-19</v>
      </c>
      <c r="F62" t="s">
        <v>444</v>
      </c>
      <c r="G62" t="s">
        <v>544</v>
      </c>
    </row>
    <row r="63" spans="1:7" x14ac:dyDescent="0.25">
      <c r="A63" t="s">
        <v>61</v>
      </c>
      <c r="C63" t="str">
        <f t="shared" si="0"/>
        <v xml:space="preserve">  192.168.3.66</v>
      </c>
      <c r="D63" t="str">
        <f t="shared" si="1"/>
        <v xml:space="preserve">   40-8d-5c-c4-7e-dd</v>
      </c>
      <c r="F63" t="s">
        <v>327</v>
      </c>
      <c r="G63" t="s">
        <v>545</v>
      </c>
    </row>
    <row r="64" spans="1:7" x14ac:dyDescent="0.25">
      <c r="A64" t="s">
        <v>62</v>
      </c>
      <c r="C64" t="str">
        <f t="shared" si="0"/>
        <v xml:space="preserve">  192.168.3.68</v>
      </c>
      <c r="D64" t="str">
        <f t="shared" si="1"/>
        <v xml:space="preserve">   54-af-97-eb-e7-78</v>
      </c>
      <c r="F64" t="s">
        <v>312</v>
      </c>
      <c r="G64" t="s">
        <v>546</v>
      </c>
    </row>
    <row r="65" spans="1:7" x14ac:dyDescent="0.25">
      <c r="A65" t="s">
        <v>63</v>
      </c>
      <c r="C65" t="str">
        <f t="shared" si="0"/>
        <v xml:space="preserve">  192.168.3.70</v>
      </c>
      <c r="D65" t="str">
        <f t="shared" si="1"/>
        <v xml:space="preserve">   00-21-97-34-35-1d</v>
      </c>
      <c r="F65" t="s">
        <v>255</v>
      </c>
      <c r="G65" t="s">
        <v>547</v>
      </c>
    </row>
    <row r="66" spans="1:7" x14ac:dyDescent="0.25">
      <c r="A66" t="s">
        <v>64</v>
      </c>
      <c r="C66" t="str">
        <f t="shared" si="0"/>
        <v xml:space="preserve">  192.168.3.72</v>
      </c>
      <c r="D66" t="str">
        <f t="shared" si="1"/>
        <v xml:space="preserve">   cc-28-aa-33-5c-f5</v>
      </c>
      <c r="F66" t="s">
        <v>335</v>
      </c>
      <c r="G66" t="s">
        <v>548</v>
      </c>
    </row>
    <row r="67" spans="1:7" x14ac:dyDescent="0.25">
      <c r="A67" t="s">
        <v>65</v>
      </c>
      <c r="C67" t="str">
        <f t="shared" ref="C67:C91" si="2">MID(A67,1,14)</f>
        <v xml:space="preserve">  192.168.3.73</v>
      </c>
      <c r="D67" t="str">
        <f t="shared" ref="D67:D130" si="3">MID(A67,22,20)</f>
        <v xml:space="preserve">   08-00-27-c6-4c-37</v>
      </c>
      <c r="F67" t="s">
        <v>442</v>
      </c>
      <c r="G67" t="s">
        <v>549</v>
      </c>
    </row>
    <row r="68" spans="1:7" x14ac:dyDescent="0.25">
      <c r="A68" t="s">
        <v>66</v>
      </c>
      <c r="C68" t="str">
        <f t="shared" si="2"/>
        <v xml:space="preserve">  192.168.3.74</v>
      </c>
      <c r="D68" t="str">
        <f t="shared" si="3"/>
        <v xml:space="preserve">   26-e8-32-01-9b-2b</v>
      </c>
      <c r="F68" t="s">
        <v>303</v>
      </c>
      <c r="G68" t="s">
        <v>550</v>
      </c>
    </row>
    <row r="69" spans="1:7" x14ac:dyDescent="0.25">
      <c r="A69" t="s">
        <v>67</v>
      </c>
      <c r="C69" t="str">
        <f t="shared" si="2"/>
        <v xml:space="preserve">  192.168.3.76</v>
      </c>
      <c r="D69" t="str">
        <f t="shared" si="3"/>
        <v xml:space="preserve">   00-25-ab-0f-98-1c</v>
      </c>
      <c r="F69" t="s">
        <v>319</v>
      </c>
      <c r="G69" t="s">
        <v>551</v>
      </c>
    </row>
    <row r="70" spans="1:7" x14ac:dyDescent="0.25">
      <c r="A70" t="s">
        <v>68</v>
      </c>
      <c r="C70" t="str">
        <f t="shared" si="2"/>
        <v xml:space="preserve">  192.168.3.78</v>
      </c>
      <c r="D70" t="str">
        <f t="shared" si="3"/>
        <v xml:space="preserve">   14-eb-b6-cf-70-9f</v>
      </c>
      <c r="F70" t="s">
        <v>302</v>
      </c>
      <c r="G70" t="s">
        <v>552</v>
      </c>
    </row>
    <row r="71" spans="1:7" x14ac:dyDescent="0.25">
      <c r="A71" t="s">
        <v>69</v>
      </c>
      <c r="C71" t="str">
        <f t="shared" si="2"/>
        <v xml:space="preserve">  192.168.3.79</v>
      </c>
      <c r="D71" t="str">
        <f t="shared" si="3"/>
        <v xml:space="preserve">   a4-d7-3c-ec-64-b6</v>
      </c>
      <c r="F71" t="s">
        <v>357</v>
      </c>
      <c r="G71" t="s">
        <v>553</v>
      </c>
    </row>
    <row r="72" spans="1:7" x14ac:dyDescent="0.25">
      <c r="A72" t="s">
        <v>70</v>
      </c>
      <c r="C72" t="str">
        <f t="shared" si="2"/>
        <v xml:space="preserve">  192.168.3.80</v>
      </c>
      <c r="D72" t="str">
        <f t="shared" si="3"/>
        <v xml:space="preserve">   bc-5f-f4-a7-ed-2c</v>
      </c>
      <c r="F72" t="s">
        <v>254</v>
      </c>
      <c r="G72" t="s">
        <v>554</v>
      </c>
    </row>
    <row r="73" spans="1:7" x14ac:dyDescent="0.25">
      <c r="A73" t="s">
        <v>71</v>
      </c>
      <c r="C73" t="str">
        <f t="shared" si="2"/>
        <v xml:space="preserve">  192.168.3.81</v>
      </c>
      <c r="D73" t="str">
        <f t="shared" si="3"/>
        <v xml:space="preserve">   cc-28-aa-32-ed-62</v>
      </c>
      <c r="F73" t="s">
        <v>292</v>
      </c>
      <c r="G73" t="s">
        <v>555</v>
      </c>
    </row>
    <row r="74" spans="1:7" x14ac:dyDescent="0.25">
      <c r="A74" t="s">
        <v>72</v>
      </c>
      <c r="C74" t="str">
        <f t="shared" si="2"/>
        <v xml:space="preserve">  192.168.3.82</v>
      </c>
      <c r="D74" t="str">
        <f t="shared" si="3"/>
        <v xml:space="preserve">   18-3d-2d-4c-03-31</v>
      </c>
      <c r="F74" t="s">
        <v>443</v>
      </c>
      <c r="G74" t="s">
        <v>556</v>
      </c>
    </row>
    <row r="75" spans="1:7" x14ac:dyDescent="0.25">
      <c r="A75" t="s">
        <v>73</v>
      </c>
      <c r="C75" t="str">
        <f t="shared" si="2"/>
        <v xml:space="preserve">  192.168.3.83</v>
      </c>
      <c r="D75" t="str">
        <f t="shared" si="3"/>
        <v xml:space="preserve">   34-9f-7b-cb-57-2a</v>
      </c>
      <c r="F75" t="s">
        <v>279</v>
      </c>
      <c r="G75" t="s">
        <v>557</v>
      </c>
    </row>
    <row r="76" spans="1:7" x14ac:dyDescent="0.25">
      <c r="A76" t="s">
        <v>74</v>
      </c>
      <c r="C76" t="str">
        <f t="shared" si="2"/>
        <v xml:space="preserve">  192.168.3.84</v>
      </c>
      <c r="D76" t="str">
        <f t="shared" si="3"/>
        <v xml:space="preserve">   e0-d5-5e-07-d8-b7</v>
      </c>
      <c r="F76" t="s">
        <v>436</v>
      </c>
      <c r="G76" t="s">
        <v>558</v>
      </c>
    </row>
    <row r="77" spans="1:7" x14ac:dyDescent="0.25">
      <c r="A77" t="s">
        <v>75</v>
      </c>
      <c r="C77" t="str">
        <f t="shared" si="2"/>
        <v xml:space="preserve">  192.168.3.85</v>
      </c>
      <c r="D77" t="str">
        <f t="shared" si="3"/>
        <v xml:space="preserve">   1c-1b-0d-59-7c-a4</v>
      </c>
      <c r="F77" t="s">
        <v>428</v>
      </c>
      <c r="G77" t="s">
        <v>559</v>
      </c>
    </row>
    <row r="78" spans="1:7" x14ac:dyDescent="0.25">
      <c r="A78" t="s">
        <v>76</v>
      </c>
      <c r="C78" t="str">
        <f t="shared" si="2"/>
        <v xml:space="preserve">  192.168.3.86</v>
      </c>
      <c r="D78" t="str">
        <f t="shared" si="3"/>
        <v xml:space="preserve">   00-1f-f2-07-65-22</v>
      </c>
      <c r="F78" t="s">
        <v>361</v>
      </c>
      <c r="G78" t="s">
        <v>560</v>
      </c>
    </row>
    <row r="79" spans="1:7" x14ac:dyDescent="0.25">
      <c r="A79" t="s">
        <v>77</v>
      </c>
      <c r="C79" t="str">
        <f t="shared" si="2"/>
        <v xml:space="preserve">  192.168.3.87</v>
      </c>
      <c r="D79" t="str">
        <f t="shared" si="3"/>
        <v xml:space="preserve">   00-25-ab-0f-71-d9</v>
      </c>
      <c r="F79" t="s">
        <v>295</v>
      </c>
      <c r="G79" t="s">
        <v>561</v>
      </c>
    </row>
    <row r="80" spans="1:7" x14ac:dyDescent="0.25">
      <c r="A80" t="s">
        <v>78</v>
      </c>
      <c r="C80" t="str">
        <f t="shared" si="2"/>
        <v xml:space="preserve">  192.168.3.88</v>
      </c>
      <c r="D80" t="str">
        <f t="shared" si="3"/>
        <v xml:space="preserve">   b4-22-00-13-82-55</v>
      </c>
      <c r="F80" t="s">
        <v>274</v>
      </c>
      <c r="G80" t="s">
        <v>562</v>
      </c>
    </row>
    <row r="81" spans="1:7" x14ac:dyDescent="0.25">
      <c r="A81" t="s">
        <v>79</v>
      </c>
      <c r="C81" t="str">
        <f t="shared" si="2"/>
        <v xml:space="preserve">  192.168.3.89</v>
      </c>
      <c r="D81" t="str">
        <f t="shared" si="3"/>
        <v xml:space="preserve">   98-e7-f4-08-41-db</v>
      </c>
      <c r="F81" t="s">
        <v>389</v>
      </c>
      <c r="G81" t="s">
        <v>563</v>
      </c>
    </row>
    <row r="82" spans="1:7" x14ac:dyDescent="0.25">
      <c r="A82" t="s">
        <v>80</v>
      </c>
      <c r="C82" t="str">
        <f t="shared" si="2"/>
        <v xml:space="preserve">  192.168.3.90</v>
      </c>
      <c r="D82" t="str">
        <f t="shared" si="3"/>
        <v xml:space="preserve">   24-6a-0e-b4-b3-33</v>
      </c>
      <c r="F82" t="s">
        <v>461</v>
      </c>
      <c r="G82" t="s">
        <v>564</v>
      </c>
    </row>
    <row r="83" spans="1:7" x14ac:dyDescent="0.25">
      <c r="A83" t="s">
        <v>81</v>
      </c>
      <c r="C83" t="str">
        <f t="shared" si="2"/>
        <v xml:space="preserve">  192.168.3.91</v>
      </c>
      <c r="D83" t="str">
        <f t="shared" si="3"/>
        <v xml:space="preserve">   24-be-05-e7-5d-9f</v>
      </c>
      <c r="F83" t="s">
        <v>275</v>
      </c>
      <c r="G83" t="s">
        <v>565</v>
      </c>
    </row>
    <row r="84" spans="1:7" x14ac:dyDescent="0.25">
      <c r="A84" t="s">
        <v>82</v>
      </c>
      <c r="C84" t="str">
        <f t="shared" si="2"/>
        <v xml:space="preserve">  192.168.3.92</v>
      </c>
      <c r="D84" t="str">
        <f t="shared" si="3"/>
        <v xml:space="preserve">   e8-9f-80-78-db-3f</v>
      </c>
      <c r="F84" t="s">
        <v>390</v>
      </c>
      <c r="G84" t="s">
        <v>566</v>
      </c>
    </row>
    <row r="85" spans="1:7" x14ac:dyDescent="0.25">
      <c r="A85" t="s">
        <v>83</v>
      </c>
      <c r="C85" t="str">
        <f t="shared" si="2"/>
        <v xml:space="preserve">  192.168.3.93</v>
      </c>
      <c r="D85" t="str">
        <f t="shared" si="3"/>
        <v xml:space="preserve">   cc-28-aa-33-38-7f</v>
      </c>
      <c r="F85" t="s">
        <v>307</v>
      </c>
      <c r="G85" t="s">
        <v>567</v>
      </c>
    </row>
    <row r="86" spans="1:7" x14ac:dyDescent="0.25">
      <c r="A86" t="s">
        <v>84</v>
      </c>
      <c r="C86" t="str">
        <f t="shared" si="2"/>
        <v xml:space="preserve">  192.168.3.94</v>
      </c>
      <c r="D86" t="str">
        <f t="shared" si="3"/>
        <v xml:space="preserve">   e8-9c-25-2a-82-ee</v>
      </c>
      <c r="F86" t="s">
        <v>278</v>
      </c>
      <c r="G86" t="s">
        <v>568</v>
      </c>
    </row>
    <row r="87" spans="1:7" x14ac:dyDescent="0.25">
      <c r="A87" t="s">
        <v>85</v>
      </c>
      <c r="C87" t="str">
        <f t="shared" si="2"/>
        <v xml:space="preserve">  192.168.3.95</v>
      </c>
      <c r="D87" t="str">
        <f t="shared" si="3"/>
        <v xml:space="preserve">   d2-57-91-c0-ff-42</v>
      </c>
      <c r="F87" t="s">
        <v>412</v>
      </c>
      <c r="G87" t="s">
        <v>569</v>
      </c>
    </row>
    <row r="88" spans="1:7" x14ac:dyDescent="0.25">
      <c r="A88" t="s">
        <v>86</v>
      </c>
      <c r="C88" t="str">
        <f t="shared" si="2"/>
        <v xml:space="preserve">  192.168.3.96</v>
      </c>
      <c r="D88" t="str">
        <f t="shared" si="3"/>
        <v xml:space="preserve">   40-f8-df-8f-90-ee</v>
      </c>
      <c r="F88" t="s">
        <v>300</v>
      </c>
      <c r="G88" t="s">
        <v>570</v>
      </c>
    </row>
    <row r="89" spans="1:7" x14ac:dyDescent="0.25">
      <c r="A89" t="s">
        <v>87</v>
      </c>
      <c r="C89" t="str">
        <f t="shared" si="2"/>
        <v xml:space="preserve">  192.168.3.97</v>
      </c>
      <c r="D89" t="str">
        <f t="shared" si="3"/>
        <v xml:space="preserve">   e8-9c-25-2a-60-04</v>
      </c>
      <c r="F89" t="s">
        <v>378</v>
      </c>
      <c r="G89" t="s">
        <v>571</v>
      </c>
    </row>
    <row r="90" spans="1:7" x14ac:dyDescent="0.25">
      <c r="A90" t="s">
        <v>88</v>
      </c>
      <c r="C90" t="str">
        <f t="shared" si="2"/>
        <v xml:space="preserve">  192.168.3.98</v>
      </c>
      <c r="D90" t="str">
        <f t="shared" si="3"/>
        <v xml:space="preserve">   c8-7f-54-5c-be-71</v>
      </c>
      <c r="F90" t="s">
        <v>415</v>
      </c>
      <c r="G90" t="s">
        <v>572</v>
      </c>
    </row>
    <row r="91" spans="1:7" x14ac:dyDescent="0.25">
      <c r="A91" t="s">
        <v>89</v>
      </c>
      <c r="C91" t="str">
        <f t="shared" si="2"/>
        <v xml:space="preserve">  192.168.3.99</v>
      </c>
      <c r="D91" t="str">
        <f t="shared" si="3"/>
        <v xml:space="preserve">   30-13-8b-fa-6a-97</v>
      </c>
      <c r="F91" t="s">
        <v>342</v>
      </c>
      <c r="G91" t="s">
        <v>573</v>
      </c>
    </row>
    <row r="92" spans="1:7" x14ac:dyDescent="0.25">
      <c r="A92" t="s">
        <v>90</v>
      </c>
      <c r="C92" t="str">
        <f>MID(A92,1,15)</f>
        <v xml:space="preserve">  192.168.3.100</v>
      </c>
      <c r="D92" t="str">
        <f t="shared" si="3"/>
        <v xml:space="preserve">   10-78-d2-35-be-ff</v>
      </c>
      <c r="F92" t="s">
        <v>439</v>
      </c>
      <c r="G92" t="s">
        <v>574</v>
      </c>
    </row>
    <row r="93" spans="1:7" x14ac:dyDescent="0.25">
      <c r="A93" t="s">
        <v>91</v>
      </c>
      <c r="C93" t="str">
        <f t="shared" ref="C93:C156" si="4">MID(A93,1,15)</f>
        <v xml:space="preserve">  192.168.3.101</v>
      </c>
      <c r="D93" t="str">
        <f t="shared" si="3"/>
        <v xml:space="preserve">   00-25-ab-10-46-c5</v>
      </c>
      <c r="F93" t="s">
        <v>359</v>
      </c>
      <c r="G93" t="s">
        <v>575</v>
      </c>
    </row>
    <row r="94" spans="1:7" x14ac:dyDescent="0.25">
      <c r="A94" t="s">
        <v>92</v>
      </c>
      <c r="C94" t="str">
        <f t="shared" si="4"/>
        <v xml:space="preserve">  192.168.3.102</v>
      </c>
      <c r="D94" t="str">
        <f t="shared" si="3"/>
        <v xml:space="preserve">   18-3d-2d-4c-01-57</v>
      </c>
      <c r="F94" t="s">
        <v>332</v>
      </c>
      <c r="G94" t="s">
        <v>576</v>
      </c>
    </row>
    <row r="95" spans="1:7" x14ac:dyDescent="0.25">
      <c r="A95" t="s">
        <v>93</v>
      </c>
      <c r="C95" t="str">
        <f t="shared" si="4"/>
        <v xml:space="preserve">  192.168.3.103</v>
      </c>
      <c r="D95" t="str">
        <f t="shared" si="3"/>
        <v xml:space="preserve">   cc-28-aa-33-58-a9</v>
      </c>
      <c r="F95" t="s">
        <v>418</v>
      </c>
      <c r="G95" t="s">
        <v>577</v>
      </c>
    </row>
    <row r="96" spans="1:7" x14ac:dyDescent="0.25">
      <c r="A96" t="s">
        <v>94</v>
      </c>
      <c r="C96" t="str">
        <f t="shared" si="4"/>
        <v xml:space="preserve">  192.168.3.104</v>
      </c>
      <c r="D96" t="str">
        <f t="shared" si="3"/>
        <v xml:space="preserve">   cc-28-aa-33-17-70</v>
      </c>
      <c r="F96" t="s">
        <v>401</v>
      </c>
      <c r="G96" t="s">
        <v>578</v>
      </c>
    </row>
    <row r="97" spans="1:7" x14ac:dyDescent="0.25">
      <c r="A97" t="s">
        <v>95</v>
      </c>
      <c r="C97" t="str">
        <f t="shared" si="4"/>
        <v xml:space="preserve">  192.168.3.105</v>
      </c>
      <c r="D97" t="str">
        <f t="shared" si="3"/>
        <v xml:space="preserve">   b0-7b-25-22-ce-57</v>
      </c>
      <c r="F97" t="s">
        <v>273</v>
      </c>
      <c r="G97" t="s">
        <v>579</v>
      </c>
    </row>
    <row r="98" spans="1:7" x14ac:dyDescent="0.25">
      <c r="A98" t="s">
        <v>96</v>
      </c>
      <c r="C98" t="str">
        <f t="shared" si="4"/>
        <v xml:space="preserve">  192.168.3.107</v>
      </c>
      <c r="D98" t="str">
        <f t="shared" si="3"/>
        <v xml:space="preserve">   40-f8-df-8f-6c-18</v>
      </c>
      <c r="F98" t="s">
        <v>386</v>
      </c>
      <c r="G98" t="s">
        <v>580</v>
      </c>
    </row>
    <row r="99" spans="1:7" x14ac:dyDescent="0.25">
      <c r="A99" t="s">
        <v>97</v>
      </c>
      <c r="C99" t="str">
        <f t="shared" si="4"/>
        <v xml:space="preserve">  192.168.3.108</v>
      </c>
      <c r="D99" t="str">
        <f t="shared" si="3"/>
        <v xml:space="preserve">   b0-7b-25-1f-b8-18</v>
      </c>
      <c r="F99" t="s">
        <v>308</v>
      </c>
      <c r="G99" t="s">
        <v>581</v>
      </c>
    </row>
    <row r="100" spans="1:7" x14ac:dyDescent="0.25">
      <c r="A100" t="s">
        <v>98</v>
      </c>
      <c r="C100" t="str">
        <f t="shared" si="4"/>
        <v xml:space="preserve">  192.168.3.109</v>
      </c>
      <c r="D100" t="str">
        <f t="shared" si="3"/>
        <v xml:space="preserve">   b0-7b-25-1f-b7-5f</v>
      </c>
      <c r="F100" t="s">
        <v>385</v>
      </c>
      <c r="G100" t="s">
        <v>582</v>
      </c>
    </row>
    <row r="101" spans="1:7" x14ac:dyDescent="0.25">
      <c r="A101" t="s">
        <v>99</v>
      </c>
      <c r="C101" t="str">
        <f t="shared" si="4"/>
        <v xml:space="preserve">  192.168.3.110</v>
      </c>
      <c r="D101" t="str">
        <f t="shared" si="3"/>
        <v xml:space="preserve">   74-bf-c0-47-c0-a1</v>
      </c>
      <c r="F101" t="s">
        <v>408</v>
      </c>
      <c r="G101" t="s">
        <v>583</v>
      </c>
    </row>
    <row r="102" spans="1:7" x14ac:dyDescent="0.25">
      <c r="A102" t="s">
        <v>100</v>
      </c>
      <c r="C102" t="str">
        <f t="shared" si="4"/>
        <v xml:space="preserve">  192.168.3.111</v>
      </c>
      <c r="D102" t="str">
        <f t="shared" si="3"/>
        <v xml:space="preserve">   b0-7b-25-18-e4-bf</v>
      </c>
      <c r="F102" t="s">
        <v>347</v>
      </c>
      <c r="G102" t="s">
        <v>584</v>
      </c>
    </row>
    <row r="103" spans="1:7" x14ac:dyDescent="0.25">
      <c r="A103" t="s">
        <v>101</v>
      </c>
      <c r="C103" t="str">
        <f t="shared" si="4"/>
        <v xml:space="preserve">  192.168.3.112</v>
      </c>
      <c r="D103" t="str">
        <f t="shared" si="3"/>
        <v xml:space="preserve">   6c-3c-7c-bd-48-65</v>
      </c>
      <c r="F103" t="s">
        <v>414</v>
      </c>
      <c r="G103" t="s">
        <v>585</v>
      </c>
    </row>
    <row r="104" spans="1:7" x14ac:dyDescent="0.25">
      <c r="A104" t="s">
        <v>102</v>
      </c>
      <c r="C104" t="str">
        <f t="shared" si="4"/>
        <v xml:space="preserve">  192.168.3.113</v>
      </c>
      <c r="D104" t="str">
        <f t="shared" si="3"/>
        <v xml:space="preserve">   74-85-2a-00-88-06</v>
      </c>
      <c r="F104" t="s">
        <v>348</v>
      </c>
      <c r="G104" t="s">
        <v>586</v>
      </c>
    </row>
    <row r="105" spans="1:7" x14ac:dyDescent="0.25">
      <c r="A105" t="s">
        <v>103</v>
      </c>
      <c r="C105" t="str">
        <f t="shared" si="4"/>
        <v xml:space="preserve">  192.168.3.114</v>
      </c>
      <c r="D105" t="str">
        <f t="shared" si="3"/>
        <v xml:space="preserve">   b0-7b-25-1e-d3-9d</v>
      </c>
      <c r="F105" t="s">
        <v>345</v>
      </c>
      <c r="G105" t="s">
        <v>587</v>
      </c>
    </row>
    <row r="106" spans="1:7" x14ac:dyDescent="0.25">
      <c r="A106" t="s">
        <v>104</v>
      </c>
      <c r="C106" t="str">
        <f t="shared" si="4"/>
        <v xml:space="preserve">  192.168.3.115</v>
      </c>
      <c r="D106" t="str">
        <f t="shared" si="3"/>
        <v xml:space="preserve">   d8-5e-d3-94-5e-05</v>
      </c>
      <c r="F106" t="s">
        <v>371</v>
      </c>
      <c r="G106" t="s">
        <v>588</v>
      </c>
    </row>
    <row r="107" spans="1:7" x14ac:dyDescent="0.25">
      <c r="A107" t="s">
        <v>105</v>
      </c>
      <c r="C107" t="str">
        <f t="shared" si="4"/>
        <v xml:space="preserve">  192.168.3.116</v>
      </c>
      <c r="D107" t="str">
        <f t="shared" si="3"/>
        <v xml:space="preserve">   20-89-84-f3-94-20</v>
      </c>
      <c r="F107" t="s">
        <v>263</v>
      </c>
      <c r="G107" t="s">
        <v>589</v>
      </c>
    </row>
    <row r="108" spans="1:7" x14ac:dyDescent="0.25">
      <c r="A108" t="s">
        <v>106</v>
      </c>
      <c r="C108" t="str">
        <f t="shared" si="4"/>
        <v xml:space="preserve">  192.168.3.117</v>
      </c>
      <c r="D108" t="str">
        <f t="shared" si="3"/>
        <v xml:space="preserve">   cc-28-aa-33-38-4d</v>
      </c>
      <c r="F108" t="s">
        <v>249</v>
      </c>
      <c r="G108" t="s">
        <v>590</v>
      </c>
    </row>
    <row r="109" spans="1:7" x14ac:dyDescent="0.25">
      <c r="A109" t="s">
        <v>107</v>
      </c>
      <c r="C109" t="str">
        <f t="shared" si="4"/>
        <v xml:space="preserve">  192.168.3.119</v>
      </c>
      <c r="D109" t="str">
        <f t="shared" si="3"/>
        <v xml:space="preserve">   f8-a2-6d-e1-1f-5c</v>
      </c>
      <c r="F109" t="s">
        <v>259</v>
      </c>
      <c r="G109" t="s">
        <v>591</v>
      </c>
    </row>
    <row r="110" spans="1:7" x14ac:dyDescent="0.25">
      <c r="A110" t="s">
        <v>108</v>
      </c>
      <c r="C110" t="str">
        <f t="shared" si="4"/>
        <v xml:space="preserve">  192.168.3.120</v>
      </c>
      <c r="D110" t="str">
        <f t="shared" si="3"/>
        <v xml:space="preserve">   e8-9c-25-2b-98-46</v>
      </c>
      <c r="F110" t="s">
        <v>437</v>
      </c>
      <c r="G110" t="s">
        <v>592</v>
      </c>
    </row>
    <row r="111" spans="1:7" x14ac:dyDescent="0.25">
      <c r="A111" t="s">
        <v>109</v>
      </c>
      <c r="C111" t="str">
        <f t="shared" si="4"/>
        <v xml:space="preserve">  192.168.3.121</v>
      </c>
      <c r="D111" t="str">
        <f t="shared" si="3"/>
        <v xml:space="preserve">   9c-7b-ef-82-f2-f0</v>
      </c>
      <c r="F111" t="s">
        <v>400</v>
      </c>
      <c r="G111" t="s">
        <v>593</v>
      </c>
    </row>
    <row r="112" spans="1:7" x14ac:dyDescent="0.25">
      <c r="A112" t="s">
        <v>110</v>
      </c>
      <c r="C112" t="str">
        <f t="shared" si="4"/>
        <v xml:space="preserve">  192.168.3.122</v>
      </c>
      <c r="D112" t="str">
        <f t="shared" si="3"/>
        <v xml:space="preserve">   cc-28-aa-33-38-46</v>
      </c>
      <c r="F112" t="s">
        <v>251</v>
      </c>
      <c r="G112" t="s">
        <v>594</v>
      </c>
    </row>
    <row r="113" spans="1:7" x14ac:dyDescent="0.25">
      <c r="A113" t="s">
        <v>111</v>
      </c>
      <c r="C113" t="str">
        <f t="shared" si="4"/>
        <v xml:space="preserve">  192.168.3.123</v>
      </c>
      <c r="D113" t="str">
        <f t="shared" si="3"/>
        <v xml:space="preserve">   38-1a-52-ea-a2-6d</v>
      </c>
      <c r="F113" t="s">
        <v>325</v>
      </c>
      <c r="G113" t="s">
        <v>595</v>
      </c>
    </row>
    <row r="114" spans="1:7" x14ac:dyDescent="0.25">
      <c r="A114" t="s">
        <v>112</v>
      </c>
      <c r="C114" t="str">
        <f t="shared" si="4"/>
        <v xml:space="preserve">  192.168.3.124</v>
      </c>
      <c r="D114" t="str">
        <f t="shared" si="3"/>
        <v xml:space="preserve">   b8-2a-72-9b-47-30</v>
      </c>
      <c r="F114" t="s">
        <v>355</v>
      </c>
      <c r="G114" t="s">
        <v>596</v>
      </c>
    </row>
    <row r="115" spans="1:7" x14ac:dyDescent="0.25">
      <c r="A115" t="s">
        <v>113</v>
      </c>
      <c r="C115" t="str">
        <f t="shared" si="4"/>
        <v xml:space="preserve">  192.168.3.125</v>
      </c>
      <c r="D115" t="str">
        <f t="shared" si="3"/>
        <v xml:space="preserve">   40-f8-df-8f-90-3b</v>
      </c>
      <c r="F115" t="s">
        <v>269</v>
      </c>
      <c r="G115" t="s">
        <v>597</v>
      </c>
    </row>
    <row r="116" spans="1:7" x14ac:dyDescent="0.25">
      <c r="A116" t="s">
        <v>114</v>
      </c>
      <c r="C116" t="str">
        <f t="shared" si="4"/>
        <v xml:space="preserve">  192.168.3.126</v>
      </c>
      <c r="D116" t="str">
        <f t="shared" si="3"/>
        <v xml:space="preserve">   00-22-19-6d-e0-3b</v>
      </c>
      <c r="F116" t="s">
        <v>315</v>
      </c>
      <c r="G116" t="s">
        <v>598</v>
      </c>
    </row>
    <row r="117" spans="1:7" x14ac:dyDescent="0.25">
      <c r="A117" t="s">
        <v>115</v>
      </c>
      <c r="C117" t="str">
        <f t="shared" si="4"/>
        <v xml:space="preserve">  192.168.3.127</v>
      </c>
      <c r="D117" t="str">
        <f t="shared" si="3"/>
        <v xml:space="preserve">   40-8d-5c-7c-73-80</v>
      </c>
      <c r="F117" t="s">
        <v>291</v>
      </c>
      <c r="G117" t="s">
        <v>599</v>
      </c>
    </row>
    <row r="118" spans="1:7" x14ac:dyDescent="0.25">
      <c r="A118" t="s">
        <v>116</v>
      </c>
      <c r="C118" t="str">
        <f t="shared" si="4"/>
        <v xml:space="preserve">  192.168.3.128</v>
      </c>
      <c r="D118" t="str">
        <f t="shared" si="3"/>
        <v xml:space="preserve">   b0-7b-25-18-da-d4</v>
      </c>
      <c r="F118" t="s">
        <v>362</v>
      </c>
      <c r="G118" t="s">
        <v>600</v>
      </c>
    </row>
    <row r="119" spans="1:7" x14ac:dyDescent="0.25">
      <c r="A119" t="s">
        <v>117</v>
      </c>
      <c r="C119" t="str">
        <f t="shared" si="4"/>
        <v xml:space="preserve">  192.168.3.130</v>
      </c>
      <c r="D119" t="str">
        <f t="shared" si="3"/>
        <v xml:space="preserve">   e0-d5-5e-15-4c-40</v>
      </c>
      <c r="F119" t="s">
        <v>346</v>
      </c>
      <c r="G119" t="s">
        <v>601</v>
      </c>
    </row>
    <row r="120" spans="1:7" x14ac:dyDescent="0.25">
      <c r="A120" t="s">
        <v>118</v>
      </c>
      <c r="C120" t="str">
        <f t="shared" si="4"/>
        <v xml:space="preserve">  192.168.3.131</v>
      </c>
      <c r="D120" t="str">
        <f t="shared" si="3"/>
        <v xml:space="preserve">   bc-5f-f4-c6-2c-82</v>
      </c>
      <c r="F120" t="s">
        <v>396</v>
      </c>
      <c r="G120" t="s">
        <v>602</v>
      </c>
    </row>
    <row r="121" spans="1:7" x14ac:dyDescent="0.25">
      <c r="A121" t="s">
        <v>119</v>
      </c>
      <c r="C121" t="str">
        <f t="shared" si="4"/>
        <v xml:space="preserve">  192.168.3.132</v>
      </c>
      <c r="D121" t="str">
        <f t="shared" si="3"/>
        <v xml:space="preserve">   e8-9c-25-2a-82-f8</v>
      </c>
      <c r="F121" t="s">
        <v>277</v>
      </c>
      <c r="G121" t="s">
        <v>603</v>
      </c>
    </row>
    <row r="122" spans="1:7" x14ac:dyDescent="0.25">
      <c r="A122" t="s">
        <v>120</v>
      </c>
      <c r="C122" t="str">
        <f t="shared" si="4"/>
        <v xml:space="preserve">  192.168.3.133</v>
      </c>
      <c r="D122" t="str">
        <f t="shared" si="3"/>
        <v xml:space="preserve">   cc-28-aa-33-39-10</v>
      </c>
      <c r="F122" t="s">
        <v>398</v>
      </c>
      <c r="G122" t="s">
        <v>604</v>
      </c>
    </row>
    <row r="123" spans="1:7" x14ac:dyDescent="0.25">
      <c r="A123" t="s">
        <v>121</v>
      </c>
      <c r="C123" t="str">
        <f t="shared" si="4"/>
        <v xml:space="preserve">  192.168.3.134</v>
      </c>
      <c r="D123" t="str">
        <f t="shared" si="3"/>
        <v xml:space="preserve">   cc-28-aa-32-ef-82</v>
      </c>
      <c r="F123" t="s">
        <v>460</v>
      </c>
      <c r="G123" t="s">
        <v>605</v>
      </c>
    </row>
    <row r="124" spans="1:7" x14ac:dyDescent="0.25">
      <c r="A124" t="s">
        <v>122</v>
      </c>
      <c r="C124" t="str">
        <f t="shared" si="4"/>
        <v xml:space="preserve">  192.168.3.135</v>
      </c>
      <c r="D124" t="str">
        <f t="shared" si="3"/>
        <v xml:space="preserve">   e8-9c-25-2a-84-8c</v>
      </c>
      <c r="F124" t="s">
        <v>349</v>
      </c>
      <c r="G124" t="s">
        <v>606</v>
      </c>
    </row>
    <row r="125" spans="1:7" x14ac:dyDescent="0.25">
      <c r="A125" t="s">
        <v>123</v>
      </c>
      <c r="C125" t="str">
        <f t="shared" si="4"/>
        <v xml:space="preserve">  192.168.3.136</v>
      </c>
      <c r="D125" t="str">
        <f t="shared" si="3"/>
        <v xml:space="preserve">   cc-28-aa-33-3c-51</v>
      </c>
      <c r="F125" t="s">
        <v>393</v>
      </c>
      <c r="G125" t="s">
        <v>607</v>
      </c>
    </row>
    <row r="126" spans="1:7" x14ac:dyDescent="0.25">
      <c r="A126" t="s">
        <v>124</v>
      </c>
      <c r="C126" t="str">
        <f t="shared" si="4"/>
        <v xml:space="preserve">  192.168.3.137</v>
      </c>
      <c r="D126" t="str">
        <f t="shared" si="3"/>
        <v xml:space="preserve">   04-d9-f5-34-75-9b</v>
      </c>
      <c r="F126" t="s">
        <v>344</v>
      </c>
      <c r="G126" t="s">
        <v>608</v>
      </c>
    </row>
    <row r="127" spans="1:7" x14ac:dyDescent="0.25">
      <c r="A127" t="s">
        <v>125</v>
      </c>
      <c r="C127" t="str">
        <f t="shared" si="4"/>
        <v xml:space="preserve">  192.168.3.138</v>
      </c>
      <c r="D127" t="str">
        <f t="shared" si="3"/>
        <v xml:space="preserve">   74-d4-35-4b-94-a6</v>
      </c>
      <c r="F127" t="s">
        <v>305</v>
      </c>
      <c r="G127" t="s">
        <v>609</v>
      </c>
    </row>
    <row r="128" spans="1:7" x14ac:dyDescent="0.25">
      <c r="A128" t="s">
        <v>126</v>
      </c>
      <c r="C128" t="str">
        <f t="shared" si="4"/>
        <v xml:space="preserve">  192.168.3.140</v>
      </c>
      <c r="D128" t="str">
        <f t="shared" si="3"/>
        <v xml:space="preserve">   04-d9-f5-34-74-4a</v>
      </c>
      <c r="F128" t="s">
        <v>343</v>
      </c>
      <c r="G128" t="s">
        <v>610</v>
      </c>
    </row>
    <row r="129" spans="1:7" x14ac:dyDescent="0.25">
      <c r="A129" t="s">
        <v>127</v>
      </c>
      <c r="C129" t="str">
        <f t="shared" si="4"/>
        <v xml:space="preserve">  192.168.3.141</v>
      </c>
      <c r="D129" t="str">
        <f t="shared" si="3"/>
        <v xml:space="preserve">   c8-7f-54-5c-74-a3</v>
      </c>
      <c r="F129" t="s">
        <v>293</v>
      </c>
      <c r="G129" t="s">
        <v>611</v>
      </c>
    </row>
    <row r="130" spans="1:7" x14ac:dyDescent="0.25">
      <c r="A130" t="s">
        <v>128</v>
      </c>
      <c r="C130" t="str">
        <f t="shared" si="4"/>
        <v xml:space="preserve">  192.168.3.142</v>
      </c>
      <c r="D130" t="str">
        <f t="shared" si="3"/>
        <v xml:space="preserve">   fc-aa-14-69-f8-5e</v>
      </c>
      <c r="F130" t="s">
        <v>452</v>
      </c>
      <c r="G130" t="s">
        <v>612</v>
      </c>
    </row>
    <row r="131" spans="1:7" x14ac:dyDescent="0.25">
      <c r="A131" t="s">
        <v>129</v>
      </c>
      <c r="C131" t="str">
        <f t="shared" si="4"/>
        <v xml:space="preserve">  192.168.3.143</v>
      </c>
      <c r="D131" t="str">
        <f t="shared" ref="D131:D194" si="5">MID(A131,22,20)</f>
        <v xml:space="preserve">   fc-aa-14-62-7a-59</v>
      </c>
      <c r="F131" t="s">
        <v>451</v>
      </c>
      <c r="G131" t="s">
        <v>613</v>
      </c>
    </row>
    <row r="132" spans="1:7" x14ac:dyDescent="0.25">
      <c r="A132" t="s">
        <v>130</v>
      </c>
      <c r="C132" t="str">
        <f t="shared" si="4"/>
        <v xml:space="preserve">  192.168.3.144</v>
      </c>
      <c r="D132" t="str">
        <f t="shared" si="5"/>
        <v xml:space="preserve">   cc-28-aa-33-bf-2b</v>
      </c>
      <c r="F132" t="s">
        <v>306</v>
      </c>
      <c r="G132" t="s">
        <v>614</v>
      </c>
    </row>
    <row r="133" spans="1:7" x14ac:dyDescent="0.25">
      <c r="A133" t="s">
        <v>131</v>
      </c>
      <c r="C133" t="str">
        <f t="shared" si="4"/>
        <v xml:space="preserve">  192.168.3.145</v>
      </c>
      <c r="D133" t="str">
        <f t="shared" si="5"/>
        <v xml:space="preserve">   dc-4a-3e-b5-91-c0</v>
      </c>
      <c r="F133" t="s">
        <v>289</v>
      </c>
      <c r="G133" t="s">
        <v>615</v>
      </c>
    </row>
    <row r="134" spans="1:7" x14ac:dyDescent="0.25">
      <c r="A134" t="s">
        <v>132</v>
      </c>
      <c r="C134" t="str">
        <f t="shared" si="4"/>
        <v xml:space="preserve">  192.168.3.146</v>
      </c>
      <c r="D134" t="str">
        <f t="shared" si="5"/>
        <v xml:space="preserve">   40-f8-df-8e-d4-3a</v>
      </c>
      <c r="F134" t="s">
        <v>411</v>
      </c>
      <c r="G134" t="s">
        <v>616</v>
      </c>
    </row>
    <row r="135" spans="1:7" x14ac:dyDescent="0.25">
      <c r="A135" t="s">
        <v>133</v>
      </c>
      <c r="C135" t="str">
        <f t="shared" si="4"/>
        <v xml:space="preserve">  192.168.3.147</v>
      </c>
      <c r="D135" t="str">
        <f t="shared" si="5"/>
        <v xml:space="preserve">   cc-28-aa-32-f0-6d</v>
      </c>
      <c r="F135" t="s">
        <v>431</v>
      </c>
      <c r="G135" t="s">
        <v>617</v>
      </c>
    </row>
    <row r="136" spans="1:7" x14ac:dyDescent="0.25">
      <c r="A136" t="s">
        <v>134</v>
      </c>
      <c r="C136" t="str">
        <f t="shared" si="4"/>
        <v xml:space="preserve">  192.168.3.148</v>
      </c>
      <c r="D136" t="str">
        <f t="shared" si="5"/>
        <v xml:space="preserve">   f4-b5-20-3f-3a-38</v>
      </c>
      <c r="F136" t="s">
        <v>341</v>
      </c>
      <c r="G136" t="s">
        <v>618</v>
      </c>
    </row>
    <row r="137" spans="1:7" x14ac:dyDescent="0.25">
      <c r="A137" t="s">
        <v>135</v>
      </c>
      <c r="C137" t="str">
        <f t="shared" si="4"/>
        <v xml:space="preserve">  192.168.3.149</v>
      </c>
      <c r="D137" t="str">
        <f t="shared" si="5"/>
        <v xml:space="preserve">   cc-28-aa-32-ef-bf</v>
      </c>
      <c r="F137" t="s">
        <v>250</v>
      </c>
      <c r="G137" t="s">
        <v>619</v>
      </c>
    </row>
    <row r="138" spans="1:7" x14ac:dyDescent="0.25">
      <c r="A138" t="s">
        <v>136</v>
      </c>
      <c r="C138" t="str">
        <f t="shared" si="4"/>
        <v xml:space="preserve">  192.168.3.150</v>
      </c>
      <c r="D138" t="str">
        <f t="shared" si="5"/>
        <v xml:space="preserve">   cc-28-aa-32-f4-8e</v>
      </c>
      <c r="F138" t="s">
        <v>324</v>
      </c>
      <c r="G138" t="s">
        <v>620</v>
      </c>
    </row>
    <row r="139" spans="1:7" x14ac:dyDescent="0.25">
      <c r="A139" t="s">
        <v>137</v>
      </c>
      <c r="C139" t="str">
        <f t="shared" si="4"/>
        <v xml:space="preserve">  192.168.3.151</v>
      </c>
      <c r="D139" t="str">
        <f t="shared" si="5"/>
        <v xml:space="preserve">   e8-9c-25-2a-84-2d</v>
      </c>
      <c r="F139" t="s">
        <v>419</v>
      </c>
      <c r="G139" t="s">
        <v>621</v>
      </c>
    </row>
    <row r="140" spans="1:7" x14ac:dyDescent="0.25">
      <c r="A140" t="s">
        <v>138</v>
      </c>
      <c r="C140" t="str">
        <f t="shared" si="4"/>
        <v xml:space="preserve">  192.168.3.152</v>
      </c>
      <c r="D140" t="str">
        <f t="shared" si="5"/>
        <v xml:space="preserve">   08-bf-b8-8c-42-a4</v>
      </c>
      <c r="F140" t="s">
        <v>358</v>
      </c>
      <c r="G140" t="s">
        <v>622</v>
      </c>
    </row>
    <row r="141" spans="1:7" x14ac:dyDescent="0.25">
      <c r="A141" t="s">
        <v>139</v>
      </c>
      <c r="C141" t="str">
        <f t="shared" si="4"/>
        <v xml:space="preserve">  192.168.3.154</v>
      </c>
      <c r="D141" t="str">
        <f t="shared" si="5"/>
        <v xml:space="preserve">   60-26-aa-7b-6c-5d</v>
      </c>
      <c r="F141" t="s">
        <v>316</v>
      </c>
      <c r="G141" t="s">
        <v>623</v>
      </c>
    </row>
    <row r="142" spans="1:7" x14ac:dyDescent="0.25">
      <c r="A142" t="s">
        <v>140</v>
      </c>
      <c r="C142" t="str">
        <f t="shared" si="4"/>
        <v xml:space="preserve">  192.168.3.155</v>
      </c>
      <c r="D142" t="str">
        <f t="shared" si="5"/>
        <v xml:space="preserve">   50-46-5d-57-a8-1d</v>
      </c>
      <c r="F142" t="s">
        <v>294</v>
      </c>
      <c r="G142" t="s">
        <v>624</v>
      </c>
    </row>
    <row r="143" spans="1:7" x14ac:dyDescent="0.25">
      <c r="A143" t="s">
        <v>141</v>
      </c>
      <c r="C143" t="str">
        <f t="shared" si="4"/>
        <v xml:space="preserve">  192.168.3.156</v>
      </c>
      <c r="D143" t="str">
        <f t="shared" si="5"/>
        <v xml:space="preserve">   bc-5f-f4-a8-19-fd</v>
      </c>
      <c r="F143" t="s">
        <v>399</v>
      </c>
      <c r="G143" t="s">
        <v>625</v>
      </c>
    </row>
    <row r="144" spans="1:7" x14ac:dyDescent="0.25">
      <c r="A144" t="s">
        <v>142</v>
      </c>
      <c r="C144" t="str">
        <f t="shared" si="4"/>
        <v xml:space="preserve">  192.168.3.157</v>
      </c>
      <c r="D144" t="str">
        <f t="shared" si="5"/>
        <v xml:space="preserve">   00-13-20-df-a2-95</v>
      </c>
      <c r="F144" t="s">
        <v>409</v>
      </c>
      <c r="G144" t="s">
        <v>626</v>
      </c>
    </row>
    <row r="145" spans="1:7" x14ac:dyDescent="0.25">
      <c r="A145" t="s">
        <v>143</v>
      </c>
      <c r="C145" t="str">
        <f t="shared" si="4"/>
        <v xml:space="preserve">  192.168.3.158</v>
      </c>
      <c r="D145" t="str">
        <f t="shared" si="5"/>
        <v xml:space="preserve">   40-8d-5c-80-c6-f7</v>
      </c>
      <c r="F145" t="s">
        <v>387</v>
      </c>
      <c r="G145" t="s">
        <v>627</v>
      </c>
    </row>
    <row r="146" spans="1:7" x14ac:dyDescent="0.25">
      <c r="A146" t="s">
        <v>144</v>
      </c>
      <c r="C146" t="str">
        <f t="shared" si="4"/>
        <v xml:space="preserve">  192.168.3.159</v>
      </c>
      <c r="D146" t="str">
        <f t="shared" si="5"/>
        <v xml:space="preserve">   40-8d-5c-c0-ff-72</v>
      </c>
      <c r="F146" t="s">
        <v>304</v>
      </c>
      <c r="G146" t="s">
        <v>628</v>
      </c>
    </row>
    <row r="147" spans="1:7" x14ac:dyDescent="0.25">
      <c r="A147" t="s">
        <v>145</v>
      </c>
      <c r="C147" t="str">
        <f t="shared" si="4"/>
        <v xml:space="preserve">  192.168.3.160</v>
      </c>
      <c r="D147" t="str">
        <f t="shared" si="5"/>
        <v xml:space="preserve">   00-25-ab-0f-98-62</v>
      </c>
      <c r="F147" t="s">
        <v>364</v>
      </c>
      <c r="G147" t="s">
        <v>629</v>
      </c>
    </row>
    <row r="148" spans="1:7" x14ac:dyDescent="0.25">
      <c r="A148" t="s">
        <v>146</v>
      </c>
      <c r="C148" t="str">
        <f t="shared" si="4"/>
        <v xml:space="preserve">  192.168.3.161</v>
      </c>
      <c r="D148" t="str">
        <f t="shared" si="5"/>
        <v xml:space="preserve">   18-3d-2d-4c-03-77</v>
      </c>
      <c r="F148" t="s">
        <v>287</v>
      </c>
      <c r="G148" t="s">
        <v>630</v>
      </c>
    </row>
    <row r="149" spans="1:7" x14ac:dyDescent="0.25">
      <c r="A149" t="s">
        <v>147</v>
      </c>
      <c r="C149" t="str">
        <f t="shared" si="4"/>
        <v xml:space="preserve">  192.168.3.162</v>
      </c>
      <c r="D149" t="str">
        <f t="shared" si="5"/>
        <v xml:space="preserve">   b0-7b-25-1f-5f-b4</v>
      </c>
      <c r="F149" t="s">
        <v>281</v>
      </c>
      <c r="G149" t="s">
        <v>631</v>
      </c>
    </row>
    <row r="150" spans="1:7" x14ac:dyDescent="0.25">
      <c r="A150" t="s">
        <v>148</v>
      </c>
      <c r="C150" t="str">
        <f t="shared" si="4"/>
        <v xml:space="preserve">  192.168.3.163</v>
      </c>
      <c r="D150" t="str">
        <f t="shared" si="5"/>
        <v xml:space="preserve">   f0-76-1c-de-71-00</v>
      </c>
      <c r="F150" t="s">
        <v>462</v>
      </c>
      <c r="G150" t="s">
        <v>632</v>
      </c>
    </row>
    <row r="151" spans="1:7" x14ac:dyDescent="0.25">
      <c r="A151" t="s">
        <v>149</v>
      </c>
      <c r="C151" t="str">
        <f t="shared" si="4"/>
        <v xml:space="preserve">  192.168.3.164</v>
      </c>
      <c r="D151" t="str">
        <f t="shared" si="5"/>
        <v xml:space="preserve">   fc-aa-14-08-af-50</v>
      </c>
      <c r="F151" t="s">
        <v>467</v>
      </c>
      <c r="G151" t="s">
        <v>633</v>
      </c>
    </row>
    <row r="152" spans="1:7" x14ac:dyDescent="0.25">
      <c r="A152" t="s">
        <v>150</v>
      </c>
      <c r="C152" t="str">
        <f t="shared" si="4"/>
        <v xml:space="preserve">  192.168.3.165</v>
      </c>
      <c r="D152" t="str">
        <f t="shared" si="5"/>
        <v xml:space="preserve">   b0-7b-25-18-e8-eb</v>
      </c>
      <c r="F152" t="s">
        <v>459</v>
      </c>
      <c r="G152" t="s">
        <v>634</v>
      </c>
    </row>
    <row r="153" spans="1:7" x14ac:dyDescent="0.25">
      <c r="A153" t="s">
        <v>151</v>
      </c>
      <c r="C153" t="str">
        <f t="shared" si="4"/>
        <v xml:space="preserve">  192.168.3.166</v>
      </c>
      <c r="D153" t="str">
        <f t="shared" si="5"/>
        <v xml:space="preserve">   00-d8-61-a9-04-5c</v>
      </c>
      <c r="F153" t="s">
        <v>432</v>
      </c>
      <c r="G153" t="s">
        <v>635</v>
      </c>
    </row>
    <row r="154" spans="1:7" x14ac:dyDescent="0.25">
      <c r="A154" t="s">
        <v>152</v>
      </c>
      <c r="C154" t="str">
        <f t="shared" si="4"/>
        <v xml:space="preserve">  192.168.3.167</v>
      </c>
      <c r="D154" t="str">
        <f t="shared" si="5"/>
        <v xml:space="preserve">   b0-7b-25-1d-36-5b</v>
      </c>
      <c r="F154" t="s">
        <v>413</v>
      </c>
      <c r="G154" t="s">
        <v>636</v>
      </c>
    </row>
    <row r="155" spans="1:7" x14ac:dyDescent="0.25">
      <c r="A155" t="s">
        <v>153</v>
      </c>
      <c r="C155" t="str">
        <f t="shared" si="4"/>
        <v xml:space="preserve">  192.168.3.169</v>
      </c>
      <c r="D155" t="str">
        <f t="shared" si="5"/>
        <v xml:space="preserve">   bc-5f-f4-a8-06-91</v>
      </c>
      <c r="F155" t="s">
        <v>373</v>
      </c>
      <c r="G155" t="s">
        <v>637</v>
      </c>
    </row>
    <row r="156" spans="1:7" x14ac:dyDescent="0.25">
      <c r="A156" t="s">
        <v>154</v>
      </c>
      <c r="C156" t="str">
        <f t="shared" si="4"/>
        <v xml:space="preserve">  192.168.3.170</v>
      </c>
      <c r="D156" t="str">
        <f t="shared" si="5"/>
        <v xml:space="preserve">   94-57-a5-c4-92-53</v>
      </c>
      <c r="F156" t="s">
        <v>334</v>
      </c>
      <c r="G156" t="s">
        <v>638</v>
      </c>
    </row>
    <row r="157" spans="1:7" x14ac:dyDescent="0.25">
      <c r="A157" t="s">
        <v>155</v>
      </c>
      <c r="C157" t="str">
        <f t="shared" ref="C157:C220" si="6">MID(A157,1,15)</f>
        <v xml:space="preserve">  192.168.3.171</v>
      </c>
      <c r="D157" t="str">
        <f t="shared" si="5"/>
        <v xml:space="preserve">   48-ea-62-0d-13-f7</v>
      </c>
      <c r="F157" t="s">
        <v>317</v>
      </c>
      <c r="G157" t="s">
        <v>639</v>
      </c>
    </row>
    <row r="158" spans="1:7" x14ac:dyDescent="0.25">
      <c r="A158" t="s">
        <v>156</v>
      </c>
      <c r="C158" t="str">
        <f t="shared" si="6"/>
        <v xml:space="preserve">  192.168.3.172</v>
      </c>
      <c r="D158" t="str">
        <f t="shared" si="5"/>
        <v xml:space="preserve">   e8-9c-25-2a-78-c9</v>
      </c>
      <c r="F158" t="s">
        <v>367</v>
      </c>
      <c r="G158" t="s">
        <v>640</v>
      </c>
    </row>
    <row r="159" spans="1:7" x14ac:dyDescent="0.25">
      <c r="A159" t="s">
        <v>157</v>
      </c>
      <c r="C159" t="str">
        <f t="shared" si="6"/>
        <v xml:space="preserve">  192.168.3.174</v>
      </c>
      <c r="D159" t="str">
        <f t="shared" si="5"/>
        <v xml:space="preserve">   cc-28-aa-33-19-90</v>
      </c>
      <c r="F159" t="s">
        <v>381</v>
      </c>
      <c r="G159" t="s">
        <v>641</v>
      </c>
    </row>
    <row r="160" spans="1:7" x14ac:dyDescent="0.25">
      <c r="A160" t="s">
        <v>158</v>
      </c>
      <c r="C160" t="str">
        <f t="shared" si="6"/>
        <v xml:space="preserve">  192.168.3.175</v>
      </c>
      <c r="D160" t="str">
        <f t="shared" si="5"/>
        <v xml:space="preserve">   cc-28-aa-33-3c-7d</v>
      </c>
      <c r="F160" t="s">
        <v>272</v>
      </c>
      <c r="G160" t="s">
        <v>642</v>
      </c>
    </row>
    <row r="161" spans="1:7" x14ac:dyDescent="0.25">
      <c r="A161" t="s">
        <v>159</v>
      </c>
      <c r="C161" t="str">
        <f t="shared" si="6"/>
        <v xml:space="preserve">  192.168.3.176</v>
      </c>
      <c r="D161" t="str">
        <f t="shared" si="5"/>
        <v xml:space="preserve">   cc-28-aa-33-06-d0</v>
      </c>
      <c r="F161" t="s">
        <v>379</v>
      </c>
      <c r="G161" t="s">
        <v>643</v>
      </c>
    </row>
    <row r="162" spans="1:7" x14ac:dyDescent="0.25">
      <c r="A162" t="s">
        <v>160</v>
      </c>
      <c r="C162" t="str">
        <f t="shared" si="6"/>
        <v xml:space="preserve">  192.168.3.178</v>
      </c>
      <c r="D162" t="str">
        <f t="shared" si="5"/>
        <v xml:space="preserve">   dc-4a-3e-b5-39-26</v>
      </c>
      <c r="F162" t="s">
        <v>382</v>
      </c>
      <c r="G162" t="s">
        <v>644</v>
      </c>
    </row>
    <row r="163" spans="1:7" x14ac:dyDescent="0.25">
      <c r="A163" t="s">
        <v>161</v>
      </c>
      <c r="C163" t="str">
        <f t="shared" si="6"/>
        <v xml:space="preserve">  192.168.3.180</v>
      </c>
      <c r="D163" t="str">
        <f t="shared" si="5"/>
        <v xml:space="preserve">   cc-28-aa-33-56-5f</v>
      </c>
      <c r="F163" t="s">
        <v>463</v>
      </c>
      <c r="G163" t="s">
        <v>645</v>
      </c>
    </row>
    <row r="164" spans="1:7" x14ac:dyDescent="0.25">
      <c r="A164" t="s">
        <v>162</v>
      </c>
      <c r="C164" t="str">
        <f t="shared" si="6"/>
        <v xml:space="preserve">  192.168.3.181</v>
      </c>
      <c r="D164" t="str">
        <f t="shared" si="5"/>
        <v xml:space="preserve">   64-31-50-41-df-83</v>
      </c>
      <c r="F164" t="s">
        <v>405</v>
      </c>
      <c r="G164" t="s">
        <v>646</v>
      </c>
    </row>
    <row r="165" spans="1:7" x14ac:dyDescent="0.25">
      <c r="A165" t="s">
        <v>163</v>
      </c>
      <c r="C165" t="str">
        <f t="shared" si="6"/>
        <v xml:space="preserve">  192.168.3.182</v>
      </c>
      <c r="D165" t="str">
        <f t="shared" si="5"/>
        <v xml:space="preserve">   bc-5f-f4-a8-06-97</v>
      </c>
      <c r="F165" t="s">
        <v>266</v>
      </c>
      <c r="G165" t="s">
        <v>647</v>
      </c>
    </row>
    <row r="166" spans="1:7" x14ac:dyDescent="0.25">
      <c r="A166" t="s">
        <v>164</v>
      </c>
      <c r="C166" t="str">
        <f t="shared" si="6"/>
        <v xml:space="preserve">  192.168.3.183</v>
      </c>
      <c r="D166" t="str">
        <f t="shared" si="5"/>
        <v xml:space="preserve">   f0-76-1c-de-71-0f</v>
      </c>
      <c r="F166" t="s">
        <v>299</v>
      </c>
      <c r="G166" t="s">
        <v>648</v>
      </c>
    </row>
    <row r="167" spans="1:7" x14ac:dyDescent="0.25">
      <c r="A167" t="s">
        <v>165</v>
      </c>
      <c r="C167" t="str">
        <f t="shared" si="6"/>
        <v xml:space="preserve">  192.168.3.184</v>
      </c>
      <c r="D167" t="str">
        <f t="shared" si="5"/>
        <v xml:space="preserve">   b0-7b-25-22-cb-05</v>
      </c>
      <c r="F167" t="s">
        <v>449</v>
      </c>
      <c r="G167" t="s">
        <v>649</v>
      </c>
    </row>
    <row r="168" spans="1:7" x14ac:dyDescent="0.25">
      <c r="A168" t="s">
        <v>166</v>
      </c>
      <c r="C168" t="str">
        <f t="shared" si="6"/>
        <v xml:space="preserve">  192.168.3.186</v>
      </c>
      <c r="D168" t="str">
        <f t="shared" si="5"/>
        <v xml:space="preserve">   40-8d-5c-c7-ce-30</v>
      </c>
      <c r="F168" t="s">
        <v>253</v>
      </c>
      <c r="G168" t="s">
        <v>650</v>
      </c>
    </row>
    <row r="169" spans="1:7" x14ac:dyDescent="0.25">
      <c r="A169" t="s">
        <v>167</v>
      </c>
      <c r="C169" t="str">
        <f t="shared" si="6"/>
        <v xml:space="preserve">  192.168.3.187</v>
      </c>
      <c r="D169" t="str">
        <f t="shared" si="5"/>
        <v xml:space="preserve">   c8-7f-54-5c-3a-0c</v>
      </c>
      <c r="F169" t="s">
        <v>340</v>
      </c>
      <c r="G169" t="s">
        <v>651</v>
      </c>
    </row>
    <row r="170" spans="1:7" x14ac:dyDescent="0.25">
      <c r="A170" t="s">
        <v>168</v>
      </c>
      <c r="C170" t="str">
        <f t="shared" si="6"/>
        <v xml:space="preserve">  192.168.3.188</v>
      </c>
      <c r="D170" t="str">
        <f t="shared" si="5"/>
        <v xml:space="preserve">   74-38-b7-d7-2b-a1</v>
      </c>
      <c r="F170" t="s">
        <v>403</v>
      </c>
      <c r="G170" t="s">
        <v>652</v>
      </c>
    </row>
    <row r="171" spans="1:7" x14ac:dyDescent="0.25">
      <c r="A171" t="s">
        <v>169</v>
      </c>
      <c r="C171" t="str">
        <f t="shared" si="6"/>
        <v xml:space="preserve">  192.168.3.189</v>
      </c>
      <c r="D171" t="str">
        <f t="shared" si="5"/>
        <v xml:space="preserve">   40-f8-df-8e-d7-e2</v>
      </c>
      <c r="F171" t="s">
        <v>445</v>
      </c>
      <c r="G171" t="s">
        <v>653</v>
      </c>
    </row>
    <row r="172" spans="1:7" x14ac:dyDescent="0.25">
      <c r="A172" t="s">
        <v>170</v>
      </c>
      <c r="C172" t="str">
        <f t="shared" si="6"/>
        <v xml:space="preserve">  192.168.3.190</v>
      </c>
      <c r="D172" t="str">
        <f t="shared" si="5"/>
        <v xml:space="preserve">   e8-9f-80-78-db-0b</v>
      </c>
      <c r="F172" t="s">
        <v>356</v>
      </c>
      <c r="G172" t="s">
        <v>654</v>
      </c>
    </row>
    <row r="173" spans="1:7" x14ac:dyDescent="0.25">
      <c r="A173" t="s">
        <v>171</v>
      </c>
      <c r="C173" t="str">
        <f t="shared" si="6"/>
        <v xml:space="preserve">  192.168.3.191</v>
      </c>
      <c r="D173" t="str">
        <f t="shared" si="5"/>
        <v xml:space="preserve">   00-e0-4c-68-05-cd</v>
      </c>
      <c r="F173" t="s">
        <v>352</v>
      </c>
      <c r="G173" t="s">
        <v>655</v>
      </c>
    </row>
    <row r="174" spans="1:7" x14ac:dyDescent="0.25">
      <c r="A174" t="s">
        <v>172</v>
      </c>
      <c r="C174" t="str">
        <f t="shared" si="6"/>
        <v xml:space="preserve">  192.168.3.192</v>
      </c>
      <c r="D174" t="str">
        <f t="shared" si="5"/>
        <v xml:space="preserve">   40-f8-df-8f-c3-71</v>
      </c>
      <c r="F174" t="s">
        <v>270</v>
      </c>
      <c r="G174" t="s">
        <v>656</v>
      </c>
    </row>
    <row r="175" spans="1:7" x14ac:dyDescent="0.25">
      <c r="A175" t="s">
        <v>173</v>
      </c>
      <c r="C175" t="str">
        <f t="shared" si="6"/>
        <v xml:space="preserve">  192.168.3.193</v>
      </c>
      <c r="D175" t="str">
        <f t="shared" si="5"/>
        <v xml:space="preserve">   b4-2e-99-b0-e9-75</v>
      </c>
      <c r="F175" t="s">
        <v>329</v>
      </c>
      <c r="G175" t="s">
        <v>657</v>
      </c>
    </row>
    <row r="176" spans="1:7" x14ac:dyDescent="0.25">
      <c r="A176" t="s">
        <v>174</v>
      </c>
      <c r="C176" t="str">
        <f t="shared" si="6"/>
        <v xml:space="preserve">  192.168.3.194</v>
      </c>
      <c r="D176" t="str">
        <f t="shared" si="5"/>
        <v xml:space="preserve">   1c-69-7a-98-e0-2e</v>
      </c>
      <c r="F176" t="s">
        <v>450</v>
      </c>
      <c r="G176" t="s">
        <v>658</v>
      </c>
    </row>
    <row r="177" spans="1:7" x14ac:dyDescent="0.25">
      <c r="A177" t="s">
        <v>175</v>
      </c>
      <c r="C177" t="str">
        <f t="shared" si="6"/>
        <v xml:space="preserve">  192.168.3.196</v>
      </c>
      <c r="D177" t="str">
        <f t="shared" si="5"/>
        <v xml:space="preserve">   18-3d-2d-4c-02-62</v>
      </c>
      <c r="F177" t="s">
        <v>366</v>
      </c>
      <c r="G177" t="s">
        <v>659</v>
      </c>
    </row>
    <row r="178" spans="1:7" x14ac:dyDescent="0.25">
      <c r="A178" t="s">
        <v>176</v>
      </c>
      <c r="C178" t="str">
        <f t="shared" si="6"/>
        <v xml:space="preserve">  192.168.3.197</v>
      </c>
      <c r="D178" t="str">
        <f t="shared" si="5"/>
        <v xml:space="preserve">   d0-bf-9c-33-df-5f</v>
      </c>
      <c r="F178" t="s">
        <v>369</v>
      </c>
      <c r="G178" t="s">
        <v>660</v>
      </c>
    </row>
    <row r="179" spans="1:7" x14ac:dyDescent="0.25">
      <c r="A179" t="s">
        <v>177</v>
      </c>
      <c r="C179" t="str">
        <f t="shared" si="6"/>
        <v xml:space="preserve">  192.168.3.198</v>
      </c>
      <c r="D179" t="str">
        <f t="shared" si="5"/>
        <v xml:space="preserve">   d8-5e-d3-94-4d-c9</v>
      </c>
      <c r="F179" t="s">
        <v>404</v>
      </c>
      <c r="G179" t="s">
        <v>661</v>
      </c>
    </row>
    <row r="180" spans="1:7" x14ac:dyDescent="0.25">
      <c r="A180" t="s">
        <v>178</v>
      </c>
      <c r="C180" t="str">
        <f t="shared" si="6"/>
        <v xml:space="preserve">  192.168.3.199</v>
      </c>
      <c r="D180" t="str">
        <f t="shared" si="5"/>
        <v xml:space="preserve">   f0-76-1c-e4-d4-77</v>
      </c>
      <c r="F180" t="s">
        <v>407</v>
      </c>
      <c r="G180" t="s">
        <v>662</v>
      </c>
    </row>
    <row r="181" spans="1:7" x14ac:dyDescent="0.25">
      <c r="A181" t="s">
        <v>179</v>
      </c>
      <c r="C181" t="str">
        <f t="shared" si="6"/>
        <v xml:space="preserve">  192.168.3.201</v>
      </c>
      <c r="D181" t="str">
        <f t="shared" si="5"/>
        <v xml:space="preserve">   10-78-d2-41-d6-b0</v>
      </c>
      <c r="F181" t="s">
        <v>339</v>
      </c>
      <c r="G181" t="s">
        <v>663</v>
      </c>
    </row>
    <row r="182" spans="1:7" x14ac:dyDescent="0.25">
      <c r="A182" t="s">
        <v>180</v>
      </c>
      <c r="C182" t="str">
        <f t="shared" si="6"/>
        <v xml:space="preserve">  192.168.3.202</v>
      </c>
      <c r="D182" t="str">
        <f t="shared" si="5"/>
        <v xml:space="preserve">   e8-9c-25-2a-81-c8</v>
      </c>
      <c r="F182" t="s">
        <v>429</v>
      </c>
      <c r="G182" t="s">
        <v>664</v>
      </c>
    </row>
    <row r="183" spans="1:7" x14ac:dyDescent="0.25">
      <c r="A183" t="s">
        <v>181</v>
      </c>
      <c r="C183" t="str">
        <f t="shared" si="6"/>
        <v xml:space="preserve">  192.168.3.203</v>
      </c>
      <c r="D183" t="str">
        <f t="shared" si="5"/>
        <v xml:space="preserve">   04-d9-f5-34-74-74</v>
      </c>
      <c r="F183" t="s">
        <v>310</v>
      </c>
      <c r="G183" t="s">
        <v>665</v>
      </c>
    </row>
    <row r="184" spans="1:7" x14ac:dyDescent="0.25">
      <c r="A184" t="s">
        <v>182</v>
      </c>
      <c r="C184" t="str">
        <f t="shared" si="6"/>
        <v xml:space="preserve">  192.168.3.204</v>
      </c>
      <c r="D184" t="str">
        <f t="shared" si="5"/>
        <v xml:space="preserve">   40-8d-5c-7c-73-28</v>
      </c>
      <c r="F184" t="s">
        <v>290</v>
      </c>
      <c r="G184" t="s">
        <v>666</v>
      </c>
    </row>
    <row r="185" spans="1:7" x14ac:dyDescent="0.25">
      <c r="A185" t="s">
        <v>183</v>
      </c>
      <c r="C185" t="str">
        <f t="shared" si="6"/>
        <v xml:space="preserve">  192.168.3.205</v>
      </c>
      <c r="D185" t="str">
        <f t="shared" si="5"/>
        <v xml:space="preserve">   cc-28-aa-33-59-14</v>
      </c>
      <c r="F185" t="s">
        <v>376</v>
      </c>
      <c r="G185" t="s">
        <v>667</v>
      </c>
    </row>
    <row r="186" spans="1:7" x14ac:dyDescent="0.25">
      <c r="A186" t="s">
        <v>184</v>
      </c>
      <c r="C186" t="str">
        <f t="shared" si="6"/>
        <v xml:space="preserve">  192.168.3.206</v>
      </c>
      <c r="D186" t="str">
        <f t="shared" si="5"/>
        <v xml:space="preserve">   10-c3-7b-6b-b2-8c</v>
      </c>
      <c r="F186" t="s">
        <v>446</v>
      </c>
      <c r="G186" t="s">
        <v>668</v>
      </c>
    </row>
    <row r="187" spans="1:7" x14ac:dyDescent="0.25">
      <c r="A187" t="s">
        <v>185</v>
      </c>
      <c r="C187" t="str">
        <f t="shared" si="6"/>
        <v xml:space="preserve">  192.168.3.208</v>
      </c>
      <c r="D187" t="str">
        <f t="shared" si="5"/>
        <v xml:space="preserve">   b0-7b-25-22-cb-13</v>
      </c>
      <c r="F187" t="s">
        <v>438</v>
      </c>
      <c r="G187" t="s">
        <v>669</v>
      </c>
    </row>
    <row r="188" spans="1:7" x14ac:dyDescent="0.25">
      <c r="A188" t="s">
        <v>186</v>
      </c>
      <c r="C188" t="str">
        <f t="shared" si="6"/>
        <v xml:space="preserve">  192.168.3.209</v>
      </c>
      <c r="D188" t="str">
        <f t="shared" si="5"/>
        <v xml:space="preserve">   c8-4d-44-21-cf-75</v>
      </c>
      <c r="F188" t="s">
        <v>422</v>
      </c>
      <c r="G188" t="s">
        <v>670</v>
      </c>
    </row>
    <row r="189" spans="1:7" x14ac:dyDescent="0.25">
      <c r="A189" t="s">
        <v>187</v>
      </c>
      <c r="C189" t="str">
        <f t="shared" si="6"/>
        <v xml:space="preserve">  192.168.3.210</v>
      </c>
      <c r="D189" t="str">
        <f t="shared" si="5"/>
        <v xml:space="preserve">   1c-1b-0d-92-cb-52</v>
      </c>
      <c r="F189" t="s">
        <v>331</v>
      </c>
      <c r="G189" t="s">
        <v>671</v>
      </c>
    </row>
    <row r="190" spans="1:7" x14ac:dyDescent="0.25">
      <c r="A190" t="s">
        <v>188</v>
      </c>
      <c r="C190" t="str">
        <f t="shared" si="6"/>
        <v xml:space="preserve">  192.168.3.212</v>
      </c>
      <c r="D190" t="str">
        <f t="shared" si="5"/>
        <v xml:space="preserve">   18-3d-2d-4c-93-df</v>
      </c>
      <c r="F190" t="s">
        <v>284</v>
      </c>
      <c r="G190" t="s">
        <v>672</v>
      </c>
    </row>
    <row r="191" spans="1:7" x14ac:dyDescent="0.25">
      <c r="A191" t="s">
        <v>189</v>
      </c>
      <c r="C191" t="str">
        <f t="shared" si="6"/>
        <v xml:space="preserve">  192.168.3.213</v>
      </c>
      <c r="D191" t="str">
        <f t="shared" si="5"/>
        <v xml:space="preserve">   00-24-21-3c-83-48</v>
      </c>
      <c r="F191" t="s">
        <v>458</v>
      </c>
      <c r="G191" t="s">
        <v>673</v>
      </c>
    </row>
    <row r="192" spans="1:7" x14ac:dyDescent="0.25">
      <c r="A192" t="s">
        <v>190</v>
      </c>
      <c r="C192" t="str">
        <f t="shared" si="6"/>
        <v xml:space="preserve">  192.168.3.214</v>
      </c>
      <c r="D192" t="str">
        <f t="shared" si="5"/>
        <v xml:space="preserve">   40-8d-5c-76-f4-25</v>
      </c>
      <c r="F192" t="s">
        <v>301</v>
      </c>
      <c r="G192" t="s">
        <v>674</v>
      </c>
    </row>
    <row r="193" spans="1:7" x14ac:dyDescent="0.25">
      <c r="A193" t="s">
        <v>191</v>
      </c>
      <c r="C193" t="str">
        <f t="shared" si="6"/>
        <v xml:space="preserve">  192.168.3.215</v>
      </c>
      <c r="D193" t="str">
        <f t="shared" si="5"/>
        <v xml:space="preserve">   90-2b-34-b5-14-b3</v>
      </c>
      <c r="F193" t="s">
        <v>423</v>
      </c>
      <c r="G193" t="s">
        <v>675</v>
      </c>
    </row>
    <row r="194" spans="1:7" x14ac:dyDescent="0.25">
      <c r="A194" t="s">
        <v>192</v>
      </c>
      <c r="C194" t="str">
        <f t="shared" si="6"/>
        <v xml:space="preserve">  192.168.3.216</v>
      </c>
      <c r="D194" t="str">
        <f t="shared" si="5"/>
        <v xml:space="preserve">   d0-ad-08-c9-fa-2e</v>
      </c>
      <c r="F194" t="s">
        <v>350</v>
      </c>
      <c r="G194" t="s">
        <v>676</v>
      </c>
    </row>
    <row r="195" spans="1:7" x14ac:dyDescent="0.25">
      <c r="A195" t="s">
        <v>193</v>
      </c>
      <c r="C195" t="str">
        <f t="shared" si="6"/>
        <v xml:space="preserve">  192.168.3.217</v>
      </c>
      <c r="D195" t="str">
        <f t="shared" ref="D195:D239" si="7">MID(A195,22,20)</f>
        <v xml:space="preserve">   40-f8-df-8f-6c-23</v>
      </c>
      <c r="F195" t="s">
        <v>276</v>
      </c>
      <c r="G195" t="s">
        <v>677</v>
      </c>
    </row>
    <row r="196" spans="1:7" x14ac:dyDescent="0.25">
      <c r="A196" t="s">
        <v>194</v>
      </c>
      <c r="C196" t="str">
        <f t="shared" si="6"/>
        <v xml:space="preserve">  192.168.3.218</v>
      </c>
      <c r="D196" t="str">
        <f t="shared" si="7"/>
        <v xml:space="preserve">   04-7c-16-30-e6-42</v>
      </c>
      <c r="F196" t="s">
        <v>406</v>
      </c>
      <c r="G196" t="s">
        <v>678</v>
      </c>
    </row>
    <row r="197" spans="1:7" x14ac:dyDescent="0.25">
      <c r="A197" t="s">
        <v>195</v>
      </c>
      <c r="C197" t="str">
        <f t="shared" si="6"/>
        <v xml:space="preserve">  192.168.3.219</v>
      </c>
      <c r="D197" t="str">
        <f t="shared" si="7"/>
        <v xml:space="preserve">   e8-9c-25-2a-82-e7</v>
      </c>
      <c r="F197" t="s">
        <v>377</v>
      </c>
      <c r="G197" t="s">
        <v>679</v>
      </c>
    </row>
    <row r="198" spans="1:7" x14ac:dyDescent="0.25">
      <c r="A198" t="s">
        <v>196</v>
      </c>
      <c r="C198" t="str">
        <f t="shared" si="6"/>
        <v xml:space="preserve">  192.168.3.221</v>
      </c>
      <c r="D198" t="str">
        <f t="shared" si="7"/>
        <v xml:space="preserve">   30-d0-42-ef-2f-aa</v>
      </c>
      <c r="F198" t="s">
        <v>298</v>
      </c>
      <c r="G198" t="s">
        <v>680</v>
      </c>
    </row>
    <row r="199" spans="1:7" x14ac:dyDescent="0.25">
      <c r="A199" t="s">
        <v>197</v>
      </c>
      <c r="C199" t="str">
        <f t="shared" si="6"/>
        <v xml:space="preserve">  192.168.3.223</v>
      </c>
      <c r="D199" t="str">
        <f t="shared" si="7"/>
        <v xml:space="preserve">   40-8d-5c-60-07-f1</v>
      </c>
      <c r="F199" t="s">
        <v>256</v>
      </c>
      <c r="G199" t="s">
        <v>681</v>
      </c>
    </row>
    <row r="200" spans="1:7" x14ac:dyDescent="0.25">
      <c r="A200" t="s">
        <v>198</v>
      </c>
      <c r="C200" t="str">
        <f t="shared" si="6"/>
        <v xml:space="preserve">  192.168.3.224</v>
      </c>
      <c r="D200" t="str">
        <f t="shared" si="7"/>
        <v xml:space="preserve">   24-6a-0e-b6-fa-6c</v>
      </c>
      <c r="F200" t="s">
        <v>248</v>
      </c>
      <c r="G200" t="s">
        <v>682</v>
      </c>
    </row>
    <row r="201" spans="1:7" x14ac:dyDescent="0.25">
      <c r="A201" t="s">
        <v>199</v>
      </c>
      <c r="C201" t="str">
        <f t="shared" si="6"/>
        <v xml:space="preserve">  192.168.3.225</v>
      </c>
      <c r="D201" t="str">
        <f t="shared" si="7"/>
        <v xml:space="preserve">   cc-28-aa-33-38-2d</v>
      </c>
      <c r="F201" t="s">
        <v>258</v>
      </c>
      <c r="G201" t="s">
        <v>683</v>
      </c>
    </row>
    <row r="202" spans="1:7" x14ac:dyDescent="0.25">
      <c r="A202" t="s">
        <v>200</v>
      </c>
      <c r="C202" t="str">
        <f t="shared" si="6"/>
        <v xml:space="preserve">  192.168.3.226</v>
      </c>
      <c r="D202" t="str">
        <f t="shared" si="7"/>
        <v xml:space="preserve">   cc-28-aa-33-bf-99</v>
      </c>
      <c r="F202" t="s">
        <v>285</v>
      </c>
      <c r="G202" t="s">
        <v>684</v>
      </c>
    </row>
    <row r="203" spans="1:7" x14ac:dyDescent="0.25">
      <c r="A203" t="s">
        <v>201</v>
      </c>
      <c r="C203" t="str">
        <f t="shared" si="6"/>
        <v xml:space="preserve">  192.168.3.227</v>
      </c>
      <c r="D203" t="str">
        <f t="shared" si="7"/>
        <v xml:space="preserve">   e0-d5-5e-15-4f-6d</v>
      </c>
      <c r="F203" t="s">
        <v>286</v>
      </c>
      <c r="G203" t="s">
        <v>685</v>
      </c>
    </row>
    <row r="204" spans="1:7" x14ac:dyDescent="0.25">
      <c r="A204" t="s">
        <v>202</v>
      </c>
      <c r="C204" t="str">
        <f t="shared" si="6"/>
        <v xml:space="preserve">  192.168.3.228</v>
      </c>
      <c r="D204" t="str">
        <f t="shared" si="7"/>
        <v xml:space="preserve">   00-25-ab-0f-79-3b</v>
      </c>
      <c r="F204" t="s">
        <v>282</v>
      </c>
      <c r="G204" t="s">
        <v>686</v>
      </c>
    </row>
    <row r="205" spans="1:7" x14ac:dyDescent="0.25">
      <c r="A205" t="s">
        <v>203</v>
      </c>
      <c r="C205" t="str">
        <f t="shared" si="6"/>
        <v xml:space="preserve">  192.168.3.229</v>
      </c>
      <c r="D205" t="str">
        <f t="shared" si="7"/>
        <v xml:space="preserve">   cc-28-aa-33-0e-92</v>
      </c>
      <c r="F205" t="s">
        <v>320</v>
      </c>
      <c r="G205" t="s">
        <v>687</v>
      </c>
    </row>
    <row r="206" spans="1:7" x14ac:dyDescent="0.25">
      <c r="A206" t="s">
        <v>204</v>
      </c>
      <c r="C206" t="str">
        <f t="shared" si="6"/>
        <v xml:space="preserve">  192.168.3.230</v>
      </c>
      <c r="D206" t="str">
        <f t="shared" si="7"/>
        <v xml:space="preserve">   cc-28-aa-33-38-9d</v>
      </c>
      <c r="F206" t="s">
        <v>363</v>
      </c>
      <c r="G206" t="s">
        <v>688</v>
      </c>
    </row>
    <row r="207" spans="1:7" x14ac:dyDescent="0.25">
      <c r="A207" t="s">
        <v>205</v>
      </c>
      <c r="C207" t="str">
        <f t="shared" si="6"/>
        <v xml:space="preserve">  192.168.3.233</v>
      </c>
      <c r="D207" t="str">
        <f t="shared" si="7"/>
        <v xml:space="preserve">   b0-7b-25-22-c9-a5</v>
      </c>
      <c r="F207" t="s">
        <v>447</v>
      </c>
      <c r="G207" t="s">
        <v>689</v>
      </c>
    </row>
    <row r="208" spans="1:7" x14ac:dyDescent="0.25">
      <c r="A208" t="s">
        <v>206</v>
      </c>
      <c r="C208" t="str">
        <f t="shared" si="6"/>
        <v xml:space="preserve">  192.168.3.234</v>
      </c>
      <c r="D208" t="str">
        <f t="shared" si="7"/>
        <v xml:space="preserve">   b0-7b-25-22-b1-70</v>
      </c>
      <c r="F208" t="s">
        <v>257</v>
      </c>
      <c r="G208" t="s">
        <v>690</v>
      </c>
    </row>
    <row r="209" spans="1:7" x14ac:dyDescent="0.25">
      <c r="A209" t="s">
        <v>207</v>
      </c>
      <c r="C209" t="str">
        <f t="shared" si="6"/>
        <v xml:space="preserve">  192.168.3.235</v>
      </c>
      <c r="D209" t="str">
        <f t="shared" si="7"/>
        <v xml:space="preserve">   e8-9c-25-2b-97-20</v>
      </c>
      <c r="F209" t="s">
        <v>264</v>
      </c>
      <c r="G209" t="s">
        <v>691</v>
      </c>
    </row>
    <row r="210" spans="1:7" x14ac:dyDescent="0.25">
      <c r="A210" t="s">
        <v>208</v>
      </c>
      <c r="C210" t="str">
        <f t="shared" si="6"/>
        <v xml:space="preserve">  192.168.3.236</v>
      </c>
      <c r="D210" t="str">
        <f t="shared" si="7"/>
        <v xml:space="preserve">   00-1f-e2-0c-c4-34</v>
      </c>
      <c r="F210" t="s">
        <v>464</v>
      </c>
      <c r="G210" t="s">
        <v>691</v>
      </c>
    </row>
    <row r="211" spans="1:7" x14ac:dyDescent="0.25">
      <c r="A211" t="s">
        <v>209</v>
      </c>
      <c r="C211" t="str">
        <f t="shared" si="6"/>
        <v xml:space="preserve">  192.168.3.237</v>
      </c>
      <c r="D211" t="str">
        <f t="shared" si="7"/>
        <v xml:space="preserve">   e8-9c-25-a3-bd-62</v>
      </c>
      <c r="F211" t="s">
        <v>468</v>
      </c>
      <c r="G211" t="s">
        <v>692</v>
      </c>
    </row>
    <row r="212" spans="1:7" x14ac:dyDescent="0.25">
      <c r="A212" t="s">
        <v>210</v>
      </c>
      <c r="C212" t="str">
        <f t="shared" si="6"/>
        <v xml:space="preserve">  192.168.3.238</v>
      </c>
      <c r="D212" t="str">
        <f t="shared" si="7"/>
        <v xml:space="preserve">   1c-1b-0d-c8-85-98</v>
      </c>
      <c r="F212" t="s">
        <v>288</v>
      </c>
      <c r="G212" t="s">
        <v>693</v>
      </c>
    </row>
    <row r="213" spans="1:7" x14ac:dyDescent="0.25">
      <c r="A213" t="s">
        <v>211</v>
      </c>
      <c r="C213" t="str">
        <f t="shared" si="6"/>
        <v xml:space="preserve">  192.168.3.239</v>
      </c>
      <c r="D213" t="str">
        <f t="shared" si="7"/>
        <v xml:space="preserve">   e8-9c-25-2a-84-9d</v>
      </c>
      <c r="F213" t="s">
        <v>333</v>
      </c>
      <c r="G213" t="s">
        <v>694</v>
      </c>
    </row>
    <row r="214" spans="1:7" x14ac:dyDescent="0.25">
      <c r="A214" t="s">
        <v>212</v>
      </c>
      <c r="C214" t="str">
        <f t="shared" si="6"/>
        <v xml:space="preserve">  192.168.3.240</v>
      </c>
      <c r="D214" t="str">
        <f t="shared" si="7"/>
        <v xml:space="preserve">   d8-5e-d3-47-76-56</v>
      </c>
      <c r="F214" t="s">
        <v>402</v>
      </c>
      <c r="G214" t="s">
        <v>695</v>
      </c>
    </row>
    <row r="215" spans="1:7" x14ac:dyDescent="0.25">
      <c r="A215" t="s">
        <v>213</v>
      </c>
      <c r="C215" t="str">
        <f t="shared" si="6"/>
        <v xml:space="preserve">  192.168.3.241</v>
      </c>
      <c r="D215" t="str">
        <f t="shared" si="7"/>
        <v xml:space="preserve">   c4-34-6b-7e-c0-bf</v>
      </c>
      <c r="F215" t="s">
        <v>426</v>
      </c>
      <c r="G215" t="s">
        <v>696</v>
      </c>
    </row>
    <row r="216" spans="1:7" x14ac:dyDescent="0.25">
      <c r="A216" t="s">
        <v>214</v>
      </c>
      <c r="C216" t="str">
        <f t="shared" si="6"/>
        <v xml:space="preserve">  192.168.3.242</v>
      </c>
      <c r="D216" t="str">
        <f t="shared" si="7"/>
        <v xml:space="preserve">   b0-7b-25-1d-52-fd</v>
      </c>
      <c r="F216" t="s">
        <v>441</v>
      </c>
      <c r="G216" t="s">
        <v>697</v>
      </c>
    </row>
    <row r="217" spans="1:7" x14ac:dyDescent="0.25">
      <c r="A217" t="s">
        <v>215</v>
      </c>
      <c r="C217" t="str">
        <f t="shared" si="6"/>
        <v xml:space="preserve">  192.168.3.243</v>
      </c>
      <c r="D217" t="str">
        <f t="shared" si="7"/>
        <v xml:space="preserve">   40-8d-5c-80-c6-fd</v>
      </c>
      <c r="F217" t="s">
        <v>330</v>
      </c>
      <c r="G217" t="s">
        <v>698</v>
      </c>
    </row>
    <row r="218" spans="1:7" x14ac:dyDescent="0.25">
      <c r="A218" t="s">
        <v>216</v>
      </c>
      <c r="C218" t="str">
        <f t="shared" si="6"/>
        <v xml:space="preserve">  192.168.3.245</v>
      </c>
      <c r="D218" t="str">
        <f t="shared" si="7"/>
        <v xml:space="preserve">   bc-e9-2f-e9-20-52</v>
      </c>
      <c r="F218" t="s">
        <v>365</v>
      </c>
      <c r="G218" t="s">
        <v>699</v>
      </c>
    </row>
    <row r="219" spans="1:7" x14ac:dyDescent="0.25">
      <c r="A219" t="s">
        <v>217</v>
      </c>
      <c r="C219" t="str">
        <f t="shared" si="6"/>
        <v xml:space="preserve">  192.168.3.247</v>
      </c>
      <c r="D219" t="str">
        <f t="shared" si="7"/>
        <v xml:space="preserve">   cc-28-aa-33-06-bf</v>
      </c>
      <c r="F219" t="s">
        <v>383</v>
      </c>
      <c r="G219" t="s">
        <v>700</v>
      </c>
    </row>
    <row r="220" spans="1:7" x14ac:dyDescent="0.25">
      <c r="A220" t="s">
        <v>218</v>
      </c>
      <c r="C220" t="str">
        <f t="shared" si="6"/>
        <v xml:space="preserve">  192.168.3.248</v>
      </c>
      <c r="D220" t="str">
        <f t="shared" si="7"/>
        <v xml:space="preserve">   e4-11-5b-bc-c0-22</v>
      </c>
      <c r="F220" t="s">
        <v>368</v>
      </c>
      <c r="G220" t="s">
        <v>701</v>
      </c>
    </row>
    <row r="221" spans="1:7" x14ac:dyDescent="0.25">
      <c r="A221" t="s">
        <v>219</v>
      </c>
      <c r="C221" t="str">
        <f t="shared" ref="C221:C239" si="8">MID(A221,1,15)</f>
        <v xml:space="preserve">  192.168.3.249</v>
      </c>
      <c r="D221" t="str">
        <f t="shared" si="7"/>
        <v xml:space="preserve">   00-e0-07-09-8d-5c</v>
      </c>
      <c r="F221" t="s">
        <v>457</v>
      </c>
      <c r="G221" t="s">
        <v>702</v>
      </c>
    </row>
    <row r="222" spans="1:7" x14ac:dyDescent="0.25">
      <c r="A222" t="s">
        <v>220</v>
      </c>
      <c r="C222" t="str">
        <f t="shared" si="8"/>
        <v xml:space="preserve">  192.168.3.250</v>
      </c>
      <c r="D222" t="str">
        <f t="shared" si="7"/>
        <v xml:space="preserve">   00-e0-4c-68-0a-e0</v>
      </c>
      <c r="F222" t="s">
        <v>453</v>
      </c>
      <c r="G222" t="s">
        <v>703</v>
      </c>
    </row>
    <row r="223" spans="1:7" x14ac:dyDescent="0.25">
      <c r="A223" t="s">
        <v>221</v>
      </c>
      <c r="C223" t="str">
        <f t="shared" si="8"/>
        <v xml:space="preserve">  192.168.3.251</v>
      </c>
      <c r="D223" t="str">
        <f t="shared" si="7"/>
        <v xml:space="preserve">   c0-64-e4-bc-62-f4</v>
      </c>
      <c r="F223" t="s">
        <v>354</v>
      </c>
      <c r="G223" t="s">
        <v>704</v>
      </c>
    </row>
    <row r="224" spans="1:7" x14ac:dyDescent="0.25">
      <c r="A224" t="s">
        <v>222</v>
      </c>
      <c r="C224" t="str">
        <f t="shared" si="8"/>
        <v xml:space="preserve">  192.168.3.252</v>
      </c>
      <c r="D224" t="str">
        <f t="shared" si="7"/>
        <v xml:space="preserve">   e6-79-5e-88-73-28</v>
      </c>
      <c r="F224" t="s">
        <v>455</v>
      </c>
      <c r="G224" t="s">
        <v>705</v>
      </c>
    </row>
    <row r="225" spans="1:7" x14ac:dyDescent="0.25">
      <c r="A225" t="s">
        <v>223</v>
      </c>
      <c r="C225" t="str">
        <f t="shared" si="8"/>
        <v xml:space="preserve">  192.168.3.253</v>
      </c>
      <c r="D225" t="str">
        <f t="shared" si="7"/>
        <v xml:space="preserve">   00-24-21-3c-83-85</v>
      </c>
      <c r="F225" t="s">
        <v>297</v>
      </c>
      <c r="G225" t="s">
        <v>706</v>
      </c>
    </row>
    <row r="226" spans="1:7" x14ac:dyDescent="0.25">
      <c r="A226" t="s">
        <v>224</v>
      </c>
      <c r="C226" t="str">
        <f t="shared" si="8"/>
        <v xml:space="preserve">  192.168.3.254</v>
      </c>
      <c r="D226" t="str">
        <f t="shared" si="7"/>
        <v xml:space="preserve">   00-90-7f-1a-b0-8b</v>
      </c>
      <c r="F226" t="s">
        <v>416</v>
      </c>
      <c r="G226" t="s">
        <v>707</v>
      </c>
    </row>
    <row r="227" spans="1:7" x14ac:dyDescent="0.25">
      <c r="A227" t="s">
        <v>225</v>
      </c>
      <c r="C227" t="str">
        <f t="shared" si="8"/>
        <v xml:space="preserve">  192.168.3.255</v>
      </c>
      <c r="D227" t="str">
        <f t="shared" si="7"/>
        <v xml:space="preserve">   ff-ff-ff-ff-ff-ff</v>
      </c>
      <c r="F227" t="s">
        <v>328</v>
      </c>
      <c r="G227" t="s">
        <v>708</v>
      </c>
    </row>
    <row r="228" spans="1:7" x14ac:dyDescent="0.25">
      <c r="A228" t="s">
        <v>226</v>
      </c>
      <c r="C228" t="str">
        <f t="shared" si="8"/>
        <v xml:space="preserve">  224.0.0.2    </v>
      </c>
      <c r="D228" t="str">
        <f t="shared" si="7"/>
        <v xml:space="preserve">   01-00-5e-00-00-02</v>
      </c>
      <c r="F228" t="s">
        <v>394</v>
      </c>
      <c r="G228" t="s">
        <v>709</v>
      </c>
    </row>
    <row r="229" spans="1:7" x14ac:dyDescent="0.25">
      <c r="A229" t="s">
        <v>227</v>
      </c>
      <c r="C229" t="str">
        <f t="shared" si="8"/>
        <v xml:space="preserve">  224.0.0.22   </v>
      </c>
      <c r="D229" t="str">
        <f t="shared" si="7"/>
        <v xml:space="preserve">   01-00-5e-00-00-16</v>
      </c>
      <c r="F229" t="s">
        <v>410</v>
      </c>
      <c r="G229" t="s">
        <v>710</v>
      </c>
    </row>
    <row r="230" spans="1:7" x14ac:dyDescent="0.25">
      <c r="A230" t="s">
        <v>228</v>
      </c>
      <c r="C230" t="str">
        <f t="shared" si="8"/>
        <v xml:space="preserve">  224.0.0.251  </v>
      </c>
      <c r="D230" t="str">
        <f t="shared" si="7"/>
        <v xml:space="preserve">   01-00-5e-00-00-fb</v>
      </c>
      <c r="F230" t="s">
        <v>424</v>
      </c>
      <c r="G230" t="s">
        <v>711</v>
      </c>
    </row>
    <row r="231" spans="1:7" x14ac:dyDescent="0.25">
      <c r="A231" t="s">
        <v>229</v>
      </c>
      <c r="C231" t="str">
        <f t="shared" si="8"/>
        <v xml:space="preserve">  224.0.0.252  </v>
      </c>
      <c r="D231" t="str">
        <f t="shared" si="7"/>
        <v xml:space="preserve">   01-00-5e-00-00-fc</v>
      </c>
      <c r="F231" t="s">
        <v>283</v>
      </c>
      <c r="G231" t="s">
        <v>712</v>
      </c>
    </row>
    <row r="232" spans="1:7" x14ac:dyDescent="0.25">
      <c r="A232" t="s">
        <v>230</v>
      </c>
      <c r="C232" t="str">
        <f t="shared" si="8"/>
        <v xml:space="preserve">  224.0.1.60   </v>
      </c>
      <c r="D232" t="str">
        <f t="shared" si="7"/>
        <v xml:space="preserve">   01-00-5e-00-01-3c</v>
      </c>
      <c r="F232" t="s">
        <v>380</v>
      </c>
      <c r="G232" t="s">
        <v>713</v>
      </c>
    </row>
    <row r="233" spans="1:7" x14ac:dyDescent="0.25">
      <c r="A233" t="s">
        <v>231</v>
      </c>
      <c r="C233" t="str">
        <f t="shared" si="8"/>
        <v xml:space="preserve">  224.0.2.3    </v>
      </c>
      <c r="D233" t="str">
        <f t="shared" si="7"/>
        <v xml:space="preserve">   01-00-5e-00-02-03</v>
      </c>
      <c r="F233" t="s">
        <v>353</v>
      </c>
      <c r="G233" t="s">
        <v>714</v>
      </c>
    </row>
    <row r="234" spans="1:7" x14ac:dyDescent="0.25">
      <c r="A234" t="s">
        <v>232</v>
      </c>
      <c r="C234" t="str">
        <f t="shared" si="8"/>
        <v xml:space="preserve">  224.0.6.151  </v>
      </c>
      <c r="D234" t="str">
        <f t="shared" si="7"/>
        <v xml:space="preserve">   01-00-5e-00-06-97</v>
      </c>
      <c r="F234" t="s">
        <v>395</v>
      </c>
      <c r="G234" t="s">
        <v>715</v>
      </c>
    </row>
    <row r="235" spans="1:7" x14ac:dyDescent="0.25">
      <c r="A235" t="s">
        <v>233</v>
      </c>
      <c r="C235" t="str">
        <f>MID(A235,1,17)</f>
        <v xml:space="preserve">  239.192.152.143</v>
      </c>
      <c r="D235" t="str">
        <f t="shared" si="7"/>
        <v xml:space="preserve">   01-00-5e-40-98-8f</v>
      </c>
      <c r="F235" t="s">
        <v>375</v>
      </c>
      <c r="G235" t="s">
        <v>716</v>
      </c>
    </row>
    <row r="236" spans="1:7" x14ac:dyDescent="0.25">
      <c r="A236" t="s">
        <v>234</v>
      </c>
      <c r="C236" t="str">
        <f t="shared" ref="C236:C238" si="9">MID(A236,1,17)</f>
        <v xml:space="preserve">  239.255.102.18 </v>
      </c>
      <c r="D236" t="str">
        <f t="shared" si="7"/>
        <v xml:space="preserve">   01-00-5e-7f-66-12</v>
      </c>
      <c r="F236" t="s">
        <v>374</v>
      </c>
      <c r="G236" t="s">
        <v>717</v>
      </c>
    </row>
    <row r="237" spans="1:7" x14ac:dyDescent="0.25">
      <c r="A237" t="s">
        <v>235</v>
      </c>
      <c r="C237" t="str">
        <f t="shared" si="9"/>
        <v xml:space="preserve">  239.255.255.250</v>
      </c>
      <c r="D237" t="str">
        <f t="shared" si="7"/>
        <v xml:space="preserve">   01-00-5e-7f-ff-fa</v>
      </c>
      <c r="F237" t="s">
        <v>471</v>
      </c>
      <c r="G237" t="s">
        <v>718</v>
      </c>
    </row>
    <row r="238" spans="1:7" x14ac:dyDescent="0.25">
      <c r="A238" t="s">
        <v>236</v>
      </c>
      <c r="C238" t="str">
        <f t="shared" si="9"/>
        <v xml:space="preserve">  239.255.255.253</v>
      </c>
      <c r="D238" t="str">
        <f t="shared" si="7"/>
        <v xml:space="preserve">   01-00-5e-7f-ff-fd</v>
      </c>
      <c r="F238" t="s">
        <v>246</v>
      </c>
      <c r="G238" t="s">
        <v>719</v>
      </c>
    </row>
    <row r="239" spans="1:7" x14ac:dyDescent="0.25">
      <c r="C239" t="str">
        <f t="shared" si="8"/>
        <v/>
      </c>
      <c r="D239" t="str">
        <f t="shared" si="7"/>
        <v/>
      </c>
    </row>
    <row r="240" spans="1:7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226</v>
      </c>
    </row>
    <row r="244" spans="1:1" x14ac:dyDescent="0.25">
      <c r="A244" t="s">
        <v>227</v>
      </c>
    </row>
    <row r="245" spans="1:1" x14ac:dyDescent="0.25">
      <c r="A245" t="s">
        <v>228</v>
      </c>
    </row>
    <row r="246" spans="1:1" x14ac:dyDescent="0.25">
      <c r="A246" t="s">
        <v>229</v>
      </c>
    </row>
    <row r="247" spans="1:1" x14ac:dyDescent="0.25">
      <c r="A247" t="s">
        <v>230</v>
      </c>
    </row>
    <row r="248" spans="1:1" x14ac:dyDescent="0.25">
      <c r="A248" t="s">
        <v>231</v>
      </c>
    </row>
    <row r="249" spans="1:1" x14ac:dyDescent="0.25">
      <c r="A249" t="s">
        <v>232</v>
      </c>
    </row>
    <row r="250" spans="1:1" x14ac:dyDescent="0.25">
      <c r="A250" t="s">
        <v>233</v>
      </c>
    </row>
    <row r="251" spans="1:1" x14ac:dyDescent="0.25">
      <c r="A251" t="s">
        <v>235</v>
      </c>
    </row>
    <row r="252" spans="1:1" x14ac:dyDescent="0.25">
      <c r="A252" t="s">
        <v>236</v>
      </c>
    </row>
    <row r="254" spans="1:1" x14ac:dyDescent="0.25">
      <c r="A254" t="s">
        <v>240</v>
      </c>
    </row>
    <row r="255" spans="1:1" x14ac:dyDescent="0.25">
      <c r="A255" t="s">
        <v>238</v>
      </c>
    </row>
    <row r="256" spans="1:1" x14ac:dyDescent="0.25">
      <c r="A256" t="s">
        <v>241</v>
      </c>
    </row>
    <row r="257" spans="1:1" x14ac:dyDescent="0.25">
      <c r="A257" t="s">
        <v>226</v>
      </c>
    </row>
    <row r="258" spans="1:1" x14ac:dyDescent="0.25">
      <c r="A258" t="s">
        <v>227</v>
      </c>
    </row>
    <row r="259" spans="1:1" x14ac:dyDescent="0.25">
      <c r="A259" t="s">
        <v>228</v>
      </c>
    </row>
    <row r="260" spans="1:1" x14ac:dyDescent="0.25">
      <c r="A260" t="s">
        <v>229</v>
      </c>
    </row>
    <row r="261" spans="1:1" x14ac:dyDescent="0.25">
      <c r="A261" t="s">
        <v>230</v>
      </c>
    </row>
    <row r="262" spans="1:1" x14ac:dyDescent="0.25">
      <c r="A262" t="s">
        <v>231</v>
      </c>
    </row>
    <row r="263" spans="1:1" x14ac:dyDescent="0.25">
      <c r="A263" t="s">
        <v>232</v>
      </c>
    </row>
    <row r="264" spans="1:1" x14ac:dyDescent="0.25">
      <c r="A264" t="s">
        <v>233</v>
      </c>
    </row>
    <row r="265" spans="1:1" x14ac:dyDescent="0.25">
      <c r="A265" t="s">
        <v>235</v>
      </c>
    </row>
    <row r="266" spans="1:1" x14ac:dyDescent="0.25">
      <c r="A266" t="s">
        <v>236</v>
      </c>
    </row>
    <row r="268" spans="1:1" x14ac:dyDescent="0.25">
      <c r="A268" t="s">
        <v>242</v>
      </c>
    </row>
    <row r="269" spans="1:1" x14ac:dyDescent="0.25">
      <c r="A269" t="s">
        <v>238</v>
      </c>
    </row>
    <row r="270" spans="1:1" x14ac:dyDescent="0.25">
      <c r="A270" t="s">
        <v>243</v>
      </c>
    </row>
    <row r="271" spans="1:1" x14ac:dyDescent="0.25">
      <c r="A271" t="s">
        <v>244</v>
      </c>
    </row>
    <row r="272" spans="1:1" x14ac:dyDescent="0.25">
      <c r="A272" t="s">
        <v>226</v>
      </c>
    </row>
    <row r="273" spans="1:1" x14ac:dyDescent="0.25">
      <c r="A273" t="s">
        <v>227</v>
      </c>
    </row>
    <row r="274" spans="1:1" x14ac:dyDescent="0.25">
      <c r="A274" t="s">
        <v>228</v>
      </c>
    </row>
    <row r="275" spans="1:1" x14ac:dyDescent="0.25">
      <c r="A275" t="s">
        <v>230</v>
      </c>
    </row>
    <row r="276" spans="1:1" x14ac:dyDescent="0.25">
      <c r="A276" t="s">
        <v>231</v>
      </c>
    </row>
    <row r="277" spans="1:1" x14ac:dyDescent="0.25">
      <c r="A277" t="s">
        <v>232</v>
      </c>
    </row>
    <row r="278" spans="1:1" x14ac:dyDescent="0.25">
      <c r="A278" t="s">
        <v>233</v>
      </c>
    </row>
    <row r="279" spans="1:1" x14ac:dyDescent="0.25">
      <c r="A279" t="s">
        <v>235</v>
      </c>
    </row>
    <row r="280" spans="1:1" x14ac:dyDescent="0.25">
      <c r="A280" t="s">
        <v>236</v>
      </c>
    </row>
    <row r="281" spans="1:1" x14ac:dyDescent="0.25">
      <c r="A281" t="s">
        <v>245</v>
      </c>
    </row>
  </sheetData>
  <autoFilter ref="F1:G238" xr:uid="{AA7CEBC7-F76B-445C-A052-55231E07A4B8}">
    <sortState xmlns:xlrd2="http://schemas.microsoft.com/office/spreadsheetml/2017/richdata2" ref="F2:G238">
      <sortCondition ref="G1:G2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C293-14CC-4800-AD45-B09DA5690A23}">
  <dimension ref="A1:L82"/>
  <sheetViews>
    <sheetView workbookViewId="0">
      <selection activeCell="O11" sqref="O11"/>
    </sheetView>
  </sheetViews>
  <sheetFormatPr baseColWidth="10" defaultRowHeight="15" x14ac:dyDescent="0.25"/>
  <cols>
    <col min="6" max="6" width="11.42578125" style="21"/>
    <col min="8" max="9" width="11.42578125" style="17"/>
  </cols>
  <sheetData>
    <row r="1" spans="1:12" ht="22.5" x14ac:dyDescent="0.25">
      <c r="A1" s="2" t="s">
        <v>720</v>
      </c>
      <c r="B1" s="2" t="s">
        <v>721</v>
      </c>
      <c r="C1" s="2" t="s">
        <v>722</v>
      </c>
      <c r="D1" s="2" t="s">
        <v>723</v>
      </c>
      <c r="E1" s="2" t="s">
        <v>724</v>
      </c>
      <c r="F1" s="18" t="s">
        <v>725</v>
      </c>
      <c r="G1" s="2" t="s">
        <v>726</v>
      </c>
      <c r="H1" s="13" t="s">
        <v>727</v>
      </c>
      <c r="I1" s="13" t="s">
        <v>728</v>
      </c>
      <c r="J1" s="2"/>
    </row>
    <row r="2" spans="1:12" ht="45" x14ac:dyDescent="0.25">
      <c r="A2" s="3">
        <v>45994</v>
      </c>
      <c r="B2" s="4" t="s">
        <v>729</v>
      </c>
      <c r="C2" s="4">
        <v>44449927</v>
      </c>
      <c r="D2" s="4">
        <v>202511</v>
      </c>
      <c r="E2" s="4">
        <v>1</v>
      </c>
      <c r="F2" s="19">
        <v>0</v>
      </c>
      <c r="G2" s="4" t="s">
        <v>730</v>
      </c>
      <c r="H2" s="14">
        <v>121.38</v>
      </c>
      <c r="I2" s="14">
        <v>121.38</v>
      </c>
      <c r="J2" s="4"/>
    </row>
    <row r="3" spans="1:12" ht="45" x14ac:dyDescent="0.25">
      <c r="A3" s="3">
        <v>45966</v>
      </c>
      <c r="B3" s="4" t="s">
        <v>729</v>
      </c>
      <c r="C3" s="4">
        <v>44237108</v>
      </c>
      <c r="D3" s="4">
        <v>202510</v>
      </c>
      <c r="E3" s="4">
        <v>1</v>
      </c>
      <c r="F3" s="19">
        <v>0</v>
      </c>
      <c r="G3" s="4" t="s">
        <v>730</v>
      </c>
      <c r="H3" s="14">
        <v>121.38</v>
      </c>
      <c r="I3" s="14">
        <v>121.38</v>
      </c>
      <c r="J3" s="4"/>
    </row>
    <row r="4" spans="1:12" ht="45" x14ac:dyDescent="0.25">
      <c r="A4" s="3">
        <v>45932</v>
      </c>
      <c r="B4" s="4" t="s">
        <v>729</v>
      </c>
      <c r="C4" s="4">
        <v>44021003</v>
      </c>
      <c r="D4" s="4">
        <v>202509</v>
      </c>
      <c r="E4" s="4">
        <v>1</v>
      </c>
      <c r="F4" s="19">
        <v>0</v>
      </c>
      <c r="G4" s="4" t="s">
        <v>730</v>
      </c>
      <c r="H4" s="14">
        <v>121.38</v>
      </c>
      <c r="I4" s="14">
        <v>121.38</v>
      </c>
      <c r="J4" s="4"/>
    </row>
    <row r="5" spans="1:12" ht="45" x14ac:dyDescent="0.25">
      <c r="A5" s="3">
        <v>45897</v>
      </c>
      <c r="B5" s="4" t="s">
        <v>729</v>
      </c>
      <c r="C5" s="4">
        <v>43793441</v>
      </c>
      <c r="D5" s="4">
        <v>202508</v>
      </c>
      <c r="E5" s="4">
        <v>1</v>
      </c>
      <c r="F5" s="19">
        <v>0</v>
      </c>
      <c r="G5" s="4" t="s">
        <v>730</v>
      </c>
      <c r="H5" s="14">
        <v>121.38</v>
      </c>
      <c r="I5" s="14">
        <v>121.38</v>
      </c>
      <c r="J5" s="4"/>
    </row>
    <row r="6" spans="1:12" ht="45" x14ac:dyDescent="0.25">
      <c r="A6" s="3">
        <v>45867</v>
      </c>
      <c r="B6" s="4" t="s">
        <v>729</v>
      </c>
      <c r="C6" s="4">
        <v>43578428</v>
      </c>
      <c r="D6" s="4">
        <v>202507</v>
      </c>
      <c r="E6" s="4">
        <v>1</v>
      </c>
      <c r="F6" s="19">
        <v>0</v>
      </c>
      <c r="G6" s="4" t="s">
        <v>730</v>
      </c>
      <c r="H6" s="14">
        <v>121.38</v>
      </c>
      <c r="I6" s="14">
        <v>121.38</v>
      </c>
      <c r="J6" s="4"/>
      <c r="K6">
        <f>SUM(I2:I13)</f>
        <v>1444.5700000000004</v>
      </c>
    </row>
    <row r="7" spans="1:12" ht="45" x14ac:dyDescent="0.25">
      <c r="A7" s="3">
        <v>45838</v>
      </c>
      <c r="B7" s="4" t="s">
        <v>729</v>
      </c>
      <c r="C7" s="4">
        <v>43364695</v>
      </c>
      <c r="D7" s="4">
        <v>202506</v>
      </c>
      <c r="E7" s="4">
        <v>1</v>
      </c>
      <c r="F7" s="19">
        <v>0</v>
      </c>
      <c r="G7" s="4" t="s">
        <v>730</v>
      </c>
      <c r="H7" s="14">
        <v>121.38</v>
      </c>
      <c r="I7" s="14">
        <v>121.38</v>
      </c>
      <c r="J7" s="4"/>
    </row>
    <row r="8" spans="1:12" ht="45" x14ac:dyDescent="0.25">
      <c r="A8" s="3">
        <v>45807</v>
      </c>
      <c r="B8" s="4" t="s">
        <v>729</v>
      </c>
      <c r="C8" s="4">
        <v>43154259</v>
      </c>
      <c r="D8" s="4">
        <v>202505</v>
      </c>
      <c r="E8" s="4">
        <v>1</v>
      </c>
      <c r="F8" s="19">
        <v>0</v>
      </c>
      <c r="G8" s="4" t="s">
        <v>730</v>
      </c>
      <c r="H8" s="14">
        <v>121.38</v>
      </c>
      <c r="I8" s="14">
        <v>121.38</v>
      </c>
      <c r="J8" s="4"/>
    </row>
    <row r="9" spans="1:12" ht="45" x14ac:dyDescent="0.25">
      <c r="A9" s="3">
        <v>45782</v>
      </c>
      <c r="B9" s="4" t="s">
        <v>729</v>
      </c>
      <c r="C9" s="4">
        <v>42942381</v>
      </c>
      <c r="D9" s="4">
        <v>202504</v>
      </c>
      <c r="E9" s="4">
        <v>1</v>
      </c>
      <c r="F9" s="19">
        <v>0</v>
      </c>
      <c r="G9" s="4" t="s">
        <v>730</v>
      </c>
      <c r="H9" s="14">
        <v>121.38</v>
      </c>
      <c r="I9" s="14">
        <v>121.38</v>
      </c>
      <c r="J9" s="4"/>
    </row>
    <row r="10" spans="1:12" ht="45" x14ac:dyDescent="0.25">
      <c r="A10" s="3">
        <v>45750</v>
      </c>
      <c r="B10" s="4" t="s">
        <v>729</v>
      </c>
      <c r="C10" s="4">
        <v>42747164</v>
      </c>
      <c r="D10" s="4">
        <v>202503</v>
      </c>
      <c r="E10" s="4">
        <v>1</v>
      </c>
      <c r="F10" s="19">
        <v>0</v>
      </c>
      <c r="G10" s="4" t="s">
        <v>730</v>
      </c>
      <c r="H10" s="14">
        <v>121.38</v>
      </c>
      <c r="I10" s="14">
        <v>121.38</v>
      </c>
      <c r="J10" s="4"/>
    </row>
    <row r="11" spans="1:12" ht="45" x14ac:dyDescent="0.25">
      <c r="A11" s="3">
        <v>45721</v>
      </c>
      <c r="B11" s="4" t="s">
        <v>729</v>
      </c>
      <c r="C11" s="4">
        <v>42512534</v>
      </c>
      <c r="D11" s="4">
        <v>202502</v>
      </c>
      <c r="E11" s="4">
        <v>1</v>
      </c>
      <c r="F11" s="19">
        <v>0</v>
      </c>
      <c r="G11" s="4" t="s">
        <v>730</v>
      </c>
      <c r="H11" s="14">
        <v>121.38</v>
      </c>
      <c r="I11" s="14">
        <v>121.38</v>
      </c>
      <c r="J11" s="4"/>
    </row>
    <row r="12" spans="1:12" ht="45" x14ac:dyDescent="0.25">
      <c r="A12" s="3">
        <v>45693</v>
      </c>
      <c r="B12" s="4" t="s">
        <v>729</v>
      </c>
      <c r="C12" s="4">
        <v>42286689</v>
      </c>
      <c r="D12" s="4">
        <v>202501</v>
      </c>
      <c r="E12" s="4">
        <v>1</v>
      </c>
      <c r="F12" s="19">
        <v>0</v>
      </c>
      <c r="G12" s="4" t="s">
        <v>730</v>
      </c>
      <c r="H12" s="14">
        <v>121.38</v>
      </c>
      <c r="I12" s="14">
        <v>121.38</v>
      </c>
      <c r="J12" s="4"/>
    </row>
    <row r="13" spans="1:12" ht="45" x14ac:dyDescent="0.25">
      <c r="A13" s="3">
        <v>45660</v>
      </c>
      <c r="B13" s="4" t="s">
        <v>729</v>
      </c>
      <c r="C13" s="4">
        <v>42080142</v>
      </c>
      <c r="D13" s="4">
        <v>202412</v>
      </c>
      <c r="E13" s="4">
        <v>1</v>
      </c>
      <c r="F13" s="19">
        <v>0</v>
      </c>
      <c r="G13" s="4" t="s">
        <v>730</v>
      </c>
      <c r="H13" s="14">
        <v>109.39</v>
      </c>
      <c r="I13" s="14">
        <v>109.39</v>
      </c>
      <c r="J13" s="4"/>
    </row>
    <row r="14" spans="1:12" ht="33.75" x14ac:dyDescent="0.25">
      <c r="A14" s="6">
        <v>45647</v>
      </c>
      <c r="B14" s="7" t="s">
        <v>731</v>
      </c>
      <c r="C14" s="7">
        <v>673588301</v>
      </c>
      <c r="D14" s="7">
        <v>202500</v>
      </c>
      <c r="E14" s="7">
        <v>26</v>
      </c>
      <c r="F14" s="19">
        <v>0</v>
      </c>
      <c r="G14" s="7" t="s">
        <v>732</v>
      </c>
      <c r="H14" s="15">
        <v>1457.12</v>
      </c>
      <c r="I14" s="15">
        <v>1457.12</v>
      </c>
      <c r="J14" s="7"/>
      <c r="K14" s="1"/>
      <c r="L14" s="1"/>
    </row>
    <row r="15" spans="1:12" ht="45" x14ac:dyDescent="0.25">
      <c r="A15" s="3">
        <v>45629</v>
      </c>
      <c r="B15" s="4" t="s">
        <v>729</v>
      </c>
      <c r="C15" s="4">
        <v>41881328</v>
      </c>
      <c r="D15" s="4">
        <v>202411</v>
      </c>
      <c r="E15" s="4">
        <v>1</v>
      </c>
      <c r="F15" s="19">
        <v>0</v>
      </c>
      <c r="G15" s="4" t="s">
        <v>730</v>
      </c>
      <c r="H15" s="14">
        <v>108.83</v>
      </c>
      <c r="I15" s="14">
        <v>108.83</v>
      </c>
      <c r="J15" s="4"/>
    </row>
    <row r="16" spans="1:12" ht="45" x14ac:dyDescent="0.25">
      <c r="A16" s="3">
        <v>45595</v>
      </c>
      <c r="B16" s="4" t="s">
        <v>729</v>
      </c>
      <c r="C16" s="4">
        <v>41654661</v>
      </c>
      <c r="D16" s="4">
        <v>202410</v>
      </c>
      <c r="E16" s="4">
        <v>1</v>
      </c>
      <c r="F16" s="19">
        <v>0</v>
      </c>
      <c r="G16" s="4" t="s">
        <v>730</v>
      </c>
      <c r="H16" s="14">
        <v>108.83</v>
      </c>
      <c r="I16" s="14">
        <v>108.83</v>
      </c>
      <c r="J16" s="4"/>
    </row>
    <row r="17" spans="1:11" ht="45" x14ac:dyDescent="0.25">
      <c r="A17" s="3">
        <v>45572</v>
      </c>
      <c r="B17" s="4" t="s">
        <v>729</v>
      </c>
      <c r="C17" s="4">
        <v>41431363</v>
      </c>
      <c r="D17" s="4">
        <v>202409</v>
      </c>
      <c r="E17" s="4">
        <v>1</v>
      </c>
      <c r="F17" s="19">
        <v>0</v>
      </c>
      <c r="G17" s="4" t="s">
        <v>730</v>
      </c>
      <c r="H17" s="14">
        <v>108.83</v>
      </c>
      <c r="I17" s="14">
        <v>108.83</v>
      </c>
      <c r="J17" s="4"/>
    </row>
    <row r="18" spans="1:11" ht="45" x14ac:dyDescent="0.25">
      <c r="A18" s="3">
        <v>45538</v>
      </c>
      <c r="B18" s="4" t="s">
        <v>729</v>
      </c>
      <c r="C18" s="4">
        <v>41223126</v>
      </c>
      <c r="D18" s="4">
        <v>202408</v>
      </c>
      <c r="E18" s="4">
        <v>1</v>
      </c>
      <c r="F18" s="19">
        <v>0</v>
      </c>
      <c r="G18" s="4" t="s">
        <v>730</v>
      </c>
      <c r="H18" s="14">
        <v>108.83</v>
      </c>
      <c r="I18" s="14">
        <v>108.83</v>
      </c>
      <c r="J18" s="4"/>
    </row>
    <row r="19" spans="1:11" ht="45" x14ac:dyDescent="0.25">
      <c r="A19" s="3">
        <v>45505</v>
      </c>
      <c r="B19" s="4" t="s">
        <v>729</v>
      </c>
      <c r="C19" s="4">
        <v>41012611</v>
      </c>
      <c r="D19" s="4">
        <v>202407</v>
      </c>
      <c r="E19" s="4">
        <v>1</v>
      </c>
      <c r="F19" s="19">
        <v>0</v>
      </c>
      <c r="G19" s="4" t="s">
        <v>730</v>
      </c>
      <c r="H19" s="14">
        <v>108.83</v>
      </c>
      <c r="I19" s="14">
        <v>108.83</v>
      </c>
      <c r="J19" s="4"/>
    </row>
    <row r="20" spans="1:11" ht="45" x14ac:dyDescent="0.25">
      <c r="A20" s="3">
        <v>45475</v>
      </c>
      <c r="B20" s="4" t="s">
        <v>729</v>
      </c>
      <c r="C20" s="4">
        <v>40797212</v>
      </c>
      <c r="D20" s="4">
        <v>202406</v>
      </c>
      <c r="E20" s="4">
        <v>1</v>
      </c>
      <c r="F20" s="19">
        <v>0</v>
      </c>
      <c r="G20" s="4" t="s">
        <v>730</v>
      </c>
      <c r="H20" s="14">
        <v>108.83</v>
      </c>
      <c r="I20" s="14">
        <v>108.83</v>
      </c>
      <c r="J20" s="4"/>
    </row>
    <row r="21" spans="1:11" ht="45" x14ac:dyDescent="0.25">
      <c r="A21" s="3">
        <v>45443</v>
      </c>
      <c r="B21" s="4" t="s">
        <v>729</v>
      </c>
      <c r="C21" s="4">
        <v>40574547</v>
      </c>
      <c r="D21" s="4">
        <v>202405</v>
      </c>
      <c r="E21" s="4">
        <v>1</v>
      </c>
      <c r="F21" s="19">
        <v>0</v>
      </c>
      <c r="G21" s="4" t="s">
        <v>730</v>
      </c>
      <c r="H21" s="14">
        <v>108.83</v>
      </c>
      <c r="I21" s="14">
        <v>108.83</v>
      </c>
      <c r="J21" s="4"/>
      <c r="K21">
        <f>SUM(I15:I27)</f>
        <v>1400.4000000000003</v>
      </c>
    </row>
    <row r="22" spans="1:11" ht="45" x14ac:dyDescent="0.25">
      <c r="A22" s="3">
        <v>45415</v>
      </c>
      <c r="B22" s="4" t="s">
        <v>729</v>
      </c>
      <c r="C22" s="4">
        <v>40362767</v>
      </c>
      <c r="D22" s="4">
        <v>202404</v>
      </c>
      <c r="E22" s="4">
        <v>1</v>
      </c>
      <c r="F22" s="19">
        <v>0</v>
      </c>
      <c r="G22" s="4" t="s">
        <v>730</v>
      </c>
      <c r="H22" s="14">
        <v>108.83</v>
      </c>
      <c r="I22" s="14">
        <v>108.83</v>
      </c>
      <c r="J22" s="4"/>
    </row>
    <row r="23" spans="1:11" ht="45" x14ac:dyDescent="0.25">
      <c r="A23" s="3">
        <v>45384</v>
      </c>
      <c r="B23" s="4" t="s">
        <v>729</v>
      </c>
      <c r="C23" s="4">
        <v>40144645</v>
      </c>
      <c r="D23" s="4">
        <v>202403</v>
      </c>
      <c r="E23" s="4">
        <v>1</v>
      </c>
      <c r="F23" s="19">
        <v>0</v>
      </c>
      <c r="G23" s="4" t="s">
        <v>730</v>
      </c>
      <c r="H23" s="14">
        <v>108.83</v>
      </c>
      <c r="I23" s="14">
        <v>108.83</v>
      </c>
      <c r="J23" s="4"/>
    </row>
    <row r="24" spans="1:11" ht="45" x14ac:dyDescent="0.25">
      <c r="A24" s="3">
        <v>45355</v>
      </c>
      <c r="B24" s="4" t="s">
        <v>729</v>
      </c>
      <c r="C24" s="4">
        <v>39947000</v>
      </c>
      <c r="D24" s="4">
        <v>202402</v>
      </c>
      <c r="E24" s="4">
        <v>1</v>
      </c>
      <c r="F24" s="19">
        <v>0</v>
      </c>
      <c r="G24" s="4" t="s">
        <v>730</v>
      </c>
      <c r="H24" s="14">
        <v>108.83</v>
      </c>
      <c r="I24" s="14">
        <v>108.83</v>
      </c>
      <c r="J24" s="4"/>
    </row>
    <row r="25" spans="1:11" ht="45" x14ac:dyDescent="0.25">
      <c r="A25" s="3">
        <v>45323</v>
      </c>
      <c r="B25" s="4" t="s">
        <v>729</v>
      </c>
      <c r="C25" s="4">
        <v>39679611</v>
      </c>
      <c r="D25" s="4">
        <v>202401</v>
      </c>
      <c r="E25" s="4">
        <v>1</v>
      </c>
      <c r="F25" s="19">
        <v>0</v>
      </c>
      <c r="G25" s="4" t="s">
        <v>730</v>
      </c>
      <c r="H25" s="14">
        <v>110.56</v>
      </c>
      <c r="I25" s="14">
        <v>110.56</v>
      </c>
      <c r="J25" s="4"/>
    </row>
    <row r="26" spans="1:11" ht="45" x14ac:dyDescent="0.25">
      <c r="A26" s="3">
        <v>45309</v>
      </c>
      <c r="B26" s="4" t="s">
        <v>733</v>
      </c>
      <c r="C26" s="4">
        <v>39298886</v>
      </c>
      <c r="D26" s="4">
        <v>202311</v>
      </c>
      <c r="E26" s="4">
        <v>1</v>
      </c>
      <c r="F26" s="19">
        <v>0</v>
      </c>
      <c r="G26" s="4" t="s">
        <v>734</v>
      </c>
      <c r="H26" s="14">
        <v>102.06</v>
      </c>
      <c r="I26" s="14">
        <v>100.14</v>
      </c>
      <c r="J26" s="4"/>
    </row>
    <row r="27" spans="1:11" ht="45" x14ac:dyDescent="0.25">
      <c r="A27" s="3">
        <v>45309</v>
      </c>
      <c r="B27" s="4" t="s">
        <v>729</v>
      </c>
      <c r="C27" s="4">
        <v>39491912</v>
      </c>
      <c r="D27" s="4">
        <v>202312</v>
      </c>
      <c r="E27" s="4">
        <v>1</v>
      </c>
      <c r="F27" s="19">
        <v>0</v>
      </c>
      <c r="G27" s="4" t="s">
        <v>734</v>
      </c>
      <c r="H27" s="14">
        <v>101.4</v>
      </c>
      <c r="I27" s="14">
        <v>101.4</v>
      </c>
      <c r="J27" s="4"/>
    </row>
    <row r="28" spans="1:11" ht="33.75" x14ac:dyDescent="0.25">
      <c r="A28" s="6">
        <v>45305</v>
      </c>
      <c r="B28" s="7" t="s">
        <v>731</v>
      </c>
      <c r="C28" s="7">
        <v>653280701</v>
      </c>
      <c r="D28" s="7">
        <v>202400</v>
      </c>
      <c r="E28" s="7">
        <v>48</v>
      </c>
      <c r="F28" s="19">
        <v>0</v>
      </c>
      <c r="G28" s="7" t="s">
        <v>732</v>
      </c>
      <c r="H28" s="15">
        <v>1318.92</v>
      </c>
      <c r="I28" s="15">
        <v>1318.92</v>
      </c>
      <c r="J28" s="4"/>
      <c r="K28" s="5"/>
    </row>
    <row r="29" spans="1:11" ht="45" x14ac:dyDescent="0.25">
      <c r="A29" s="8">
        <v>45240</v>
      </c>
      <c r="B29" s="9" t="s">
        <v>729</v>
      </c>
      <c r="C29" s="9">
        <v>39089891</v>
      </c>
      <c r="D29" s="9">
        <v>202310</v>
      </c>
      <c r="E29" s="9">
        <v>1</v>
      </c>
      <c r="F29" s="20">
        <v>0</v>
      </c>
      <c r="G29" s="9" t="s">
        <v>730</v>
      </c>
      <c r="H29" s="16">
        <v>99.69</v>
      </c>
      <c r="I29" s="16">
        <v>99.69</v>
      </c>
      <c r="J29" s="9"/>
      <c r="K29" s="10"/>
    </row>
    <row r="30" spans="1:11" ht="45" x14ac:dyDescent="0.25">
      <c r="A30" s="8">
        <v>45198</v>
      </c>
      <c r="B30" s="9" t="s">
        <v>729</v>
      </c>
      <c r="C30" s="9">
        <v>38869704</v>
      </c>
      <c r="D30" s="9">
        <v>202309</v>
      </c>
      <c r="E30" s="9">
        <v>1</v>
      </c>
      <c r="F30" s="20">
        <v>0</v>
      </c>
      <c r="G30" s="9" t="s">
        <v>730</v>
      </c>
      <c r="H30" s="16">
        <v>99.26</v>
      </c>
      <c r="I30" s="16">
        <v>99.26</v>
      </c>
      <c r="J30" s="9"/>
      <c r="K30" s="10"/>
    </row>
    <row r="31" spans="1:11" ht="45" x14ac:dyDescent="0.25">
      <c r="A31" s="8">
        <v>45166</v>
      </c>
      <c r="B31" s="9" t="s">
        <v>729</v>
      </c>
      <c r="C31" s="9">
        <v>38666300</v>
      </c>
      <c r="D31" s="9">
        <v>202308</v>
      </c>
      <c r="E31" s="9">
        <v>1</v>
      </c>
      <c r="F31" s="20">
        <v>0</v>
      </c>
      <c r="G31" s="9" t="s">
        <v>730</v>
      </c>
      <c r="H31" s="16">
        <v>98.71</v>
      </c>
      <c r="I31" s="16">
        <v>98.71</v>
      </c>
      <c r="J31" s="9"/>
      <c r="K31" s="10"/>
    </row>
    <row r="32" spans="1:11" ht="45" x14ac:dyDescent="0.25">
      <c r="A32" s="8">
        <v>45135</v>
      </c>
      <c r="B32" s="9" t="s">
        <v>729</v>
      </c>
      <c r="C32" s="9">
        <v>38454816</v>
      </c>
      <c r="D32" s="9">
        <v>202307</v>
      </c>
      <c r="E32" s="9">
        <v>1</v>
      </c>
      <c r="F32" s="20">
        <v>0</v>
      </c>
      <c r="G32" s="9" t="s">
        <v>730</v>
      </c>
      <c r="H32" s="16">
        <v>98.24</v>
      </c>
      <c r="I32" s="16">
        <v>98.24</v>
      </c>
      <c r="J32" s="9"/>
      <c r="K32" s="10"/>
    </row>
    <row r="33" spans="1:11" ht="45" x14ac:dyDescent="0.25">
      <c r="A33" s="8">
        <v>45105</v>
      </c>
      <c r="B33" s="9" t="s">
        <v>729</v>
      </c>
      <c r="C33" s="9">
        <v>38246818</v>
      </c>
      <c r="D33" s="9">
        <v>202306</v>
      </c>
      <c r="E33" s="9">
        <v>1</v>
      </c>
      <c r="F33" s="20">
        <v>0</v>
      </c>
      <c r="G33" s="9" t="s">
        <v>730</v>
      </c>
      <c r="H33" s="16">
        <v>98.14</v>
      </c>
      <c r="I33" s="16">
        <v>98.14</v>
      </c>
      <c r="J33" s="9"/>
      <c r="K33" s="11">
        <f>SUM(I29:I39)</f>
        <v>1079.55</v>
      </c>
    </row>
    <row r="34" spans="1:11" ht="45" x14ac:dyDescent="0.25">
      <c r="A34" s="8">
        <v>45075</v>
      </c>
      <c r="B34" s="9" t="s">
        <v>729</v>
      </c>
      <c r="C34" s="9">
        <v>38035738</v>
      </c>
      <c r="D34" s="9">
        <v>202305</v>
      </c>
      <c r="E34" s="9">
        <v>1</v>
      </c>
      <c r="F34" s="20">
        <v>0</v>
      </c>
      <c r="G34" s="9" t="s">
        <v>730</v>
      </c>
      <c r="H34" s="16">
        <v>98.14</v>
      </c>
      <c r="I34" s="16">
        <v>98.14</v>
      </c>
      <c r="J34" s="9"/>
      <c r="K34" s="10"/>
    </row>
    <row r="35" spans="1:11" ht="45" x14ac:dyDescent="0.25">
      <c r="A35" s="8">
        <v>45044</v>
      </c>
      <c r="B35" s="9" t="s">
        <v>729</v>
      </c>
      <c r="C35" s="9">
        <v>37830092</v>
      </c>
      <c r="D35" s="9">
        <v>202304</v>
      </c>
      <c r="E35" s="9">
        <v>1</v>
      </c>
      <c r="F35" s="20">
        <v>0</v>
      </c>
      <c r="G35" s="9" t="s">
        <v>730</v>
      </c>
      <c r="H35" s="16">
        <v>98.14</v>
      </c>
      <c r="I35" s="16">
        <v>98.14</v>
      </c>
      <c r="J35" s="9"/>
      <c r="K35" s="10"/>
    </row>
    <row r="36" spans="1:11" ht="45" x14ac:dyDescent="0.25">
      <c r="A36" s="8">
        <v>45015</v>
      </c>
      <c r="B36" s="9" t="s">
        <v>729</v>
      </c>
      <c r="C36" s="9">
        <v>37610759</v>
      </c>
      <c r="D36" s="9">
        <v>202303</v>
      </c>
      <c r="E36" s="9">
        <v>1</v>
      </c>
      <c r="F36" s="20">
        <v>0</v>
      </c>
      <c r="G36" s="9" t="s">
        <v>730</v>
      </c>
      <c r="H36" s="16">
        <v>97.89</v>
      </c>
      <c r="I36" s="16">
        <v>97.89</v>
      </c>
      <c r="J36" s="9"/>
      <c r="K36" s="10"/>
    </row>
    <row r="37" spans="1:11" ht="45" x14ac:dyDescent="0.25">
      <c r="A37" s="8">
        <v>44987</v>
      </c>
      <c r="B37" s="9" t="s">
        <v>729</v>
      </c>
      <c r="C37" s="9">
        <v>37400065</v>
      </c>
      <c r="D37" s="9">
        <v>202302</v>
      </c>
      <c r="E37" s="9">
        <v>1</v>
      </c>
      <c r="F37" s="20">
        <v>0</v>
      </c>
      <c r="G37" s="9" t="s">
        <v>730</v>
      </c>
      <c r="H37" s="16">
        <v>97.35</v>
      </c>
      <c r="I37" s="16">
        <v>97.35</v>
      </c>
      <c r="J37" s="9"/>
      <c r="K37" s="10"/>
    </row>
    <row r="38" spans="1:11" ht="45" x14ac:dyDescent="0.25">
      <c r="A38" s="8">
        <v>44957</v>
      </c>
      <c r="B38" s="9" t="s">
        <v>729</v>
      </c>
      <c r="C38" s="9">
        <v>37186716</v>
      </c>
      <c r="D38" s="9">
        <v>202301</v>
      </c>
      <c r="E38" s="9">
        <v>1</v>
      </c>
      <c r="F38" s="20">
        <v>0</v>
      </c>
      <c r="G38" s="9" t="s">
        <v>730</v>
      </c>
      <c r="H38" s="16">
        <v>96.71</v>
      </c>
      <c r="I38" s="16">
        <v>96.71</v>
      </c>
      <c r="J38" s="9"/>
      <c r="K38" s="10"/>
    </row>
    <row r="39" spans="1:11" ht="45" x14ac:dyDescent="0.25">
      <c r="A39" s="8">
        <v>44925</v>
      </c>
      <c r="B39" s="9" t="s">
        <v>729</v>
      </c>
      <c r="C39" s="9">
        <v>37005845</v>
      </c>
      <c r="D39" s="9">
        <v>202212</v>
      </c>
      <c r="E39" s="9">
        <v>1</v>
      </c>
      <c r="F39" s="20">
        <v>0</v>
      </c>
      <c r="G39" s="9" t="s">
        <v>730</v>
      </c>
      <c r="H39" s="16">
        <v>97.28</v>
      </c>
      <c r="I39" s="16">
        <v>97.28</v>
      </c>
      <c r="J39" s="9"/>
      <c r="K39" s="10"/>
    </row>
    <row r="40" spans="1:11" ht="45" x14ac:dyDescent="0.25">
      <c r="A40" s="6">
        <v>44922</v>
      </c>
      <c r="B40" s="7" t="s">
        <v>731</v>
      </c>
      <c r="C40" s="7">
        <v>632523901</v>
      </c>
      <c r="D40" s="7">
        <v>202300</v>
      </c>
      <c r="E40" s="7">
        <v>9</v>
      </c>
      <c r="F40" s="19">
        <v>0</v>
      </c>
      <c r="G40" s="7" t="s">
        <v>735</v>
      </c>
      <c r="H40" s="15">
        <v>1107.8599999999999</v>
      </c>
      <c r="I40" s="15">
        <v>1107.8599999999999</v>
      </c>
      <c r="K40" s="12">
        <f>I40-K33</f>
        <v>28.309999999999945</v>
      </c>
    </row>
    <row r="41" spans="1:11" ht="45" x14ac:dyDescent="0.25">
      <c r="A41" s="3">
        <v>44895</v>
      </c>
      <c r="B41" s="4" t="s">
        <v>729</v>
      </c>
      <c r="C41" s="4">
        <v>36804364</v>
      </c>
      <c r="D41" s="4">
        <v>202211</v>
      </c>
      <c r="E41" s="4">
        <v>1</v>
      </c>
      <c r="F41" s="19">
        <v>0</v>
      </c>
      <c r="G41" s="4" t="s">
        <v>730</v>
      </c>
      <c r="H41" s="14">
        <v>95.8</v>
      </c>
      <c r="I41" s="14">
        <v>95.8</v>
      </c>
      <c r="J41" s="4"/>
    </row>
    <row r="42" spans="1:11" ht="45" x14ac:dyDescent="0.25">
      <c r="A42" s="3">
        <v>44862</v>
      </c>
      <c r="B42" s="4" t="s">
        <v>729</v>
      </c>
      <c r="C42" s="4">
        <v>36597077</v>
      </c>
      <c r="D42" s="4">
        <v>202210</v>
      </c>
      <c r="E42" s="4">
        <v>1</v>
      </c>
      <c r="F42" s="19">
        <v>0</v>
      </c>
      <c r="G42" s="4" t="s">
        <v>730</v>
      </c>
      <c r="H42" s="14">
        <v>95.26</v>
      </c>
      <c r="I42" s="14">
        <v>95.26</v>
      </c>
      <c r="J42" s="4"/>
    </row>
    <row r="43" spans="1:11" ht="45" x14ac:dyDescent="0.25">
      <c r="A43" s="3">
        <v>44837</v>
      </c>
      <c r="B43" s="4" t="s">
        <v>729</v>
      </c>
      <c r="C43" s="4">
        <v>36359654</v>
      </c>
      <c r="D43" s="4">
        <v>202209</v>
      </c>
      <c r="E43" s="4">
        <v>1</v>
      </c>
      <c r="F43" s="19">
        <v>0</v>
      </c>
      <c r="G43" s="4" t="s">
        <v>730</v>
      </c>
      <c r="H43" s="14">
        <v>94.68</v>
      </c>
      <c r="I43" s="14">
        <v>94.68</v>
      </c>
      <c r="J43" s="4"/>
    </row>
    <row r="44" spans="1:11" ht="45" x14ac:dyDescent="0.25">
      <c r="A44" s="3">
        <v>44805</v>
      </c>
      <c r="B44" s="4" t="s">
        <v>729</v>
      </c>
      <c r="C44" s="4">
        <v>36152721</v>
      </c>
      <c r="D44" s="4">
        <v>202208</v>
      </c>
      <c r="E44" s="4">
        <v>1</v>
      </c>
      <c r="F44" s="19">
        <v>0</v>
      </c>
      <c r="G44" s="4" t="s">
        <v>730</v>
      </c>
      <c r="H44" s="14">
        <v>94.04</v>
      </c>
      <c r="I44" s="14">
        <v>94.04</v>
      </c>
      <c r="J44" s="4"/>
    </row>
    <row r="45" spans="1:11" ht="45" x14ac:dyDescent="0.25">
      <c r="A45" s="3">
        <v>44775</v>
      </c>
      <c r="B45" s="4" t="s">
        <v>729</v>
      </c>
      <c r="C45" s="4">
        <v>35951049</v>
      </c>
      <c r="D45" s="4">
        <v>202207</v>
      </c>
      <c r="E45" s="4">
        <v>1</v>
      </c>
      <c r="F45" s="19">
        <v>0</v>
      </c>
      <c r="G45" s="4" t="s">
        <v>730</v>
      </c>
      <c r="H45" s="14">
        <v>93.36</v>
      </c>
      <c r="I45" s="14">
        <v>93.36</v>
      </c>
      <c r="J45" s="4"/>
    </row>
    <row r="46" spans="1:11" ht="45" x14ac:dyDescent="0.25">
      <c r="A46" s="3">
        <v>44743</v>
      </c>
      <c r="B46" s="4" t="s">
        <v>729</v>
      </c>
      <c r="C46" s="4">
        <v>35733024</v>
      </c>
      <c r="D46" s="4">
        <v>202206</v>
      </c>
      <c r="E46" s="4">
        <v>1</v>
      </c>
      <c r="F46" s="19">
        <v>0</v>
      </c>
      <c r="G46" s="4" t="s">
        <v>730</v>
      </c>
      <c r="H46" s="14">
        <v>92.58</v>
      </c>
      <c r="I46" s="14">
        <v>92.58</v>
      </c>
      <c r="J46" s="4"/>
    </row>
    <row r="47" spans="1:11" ht="45" x14ac:dyDescent="0.25">
      <c r="A47" s="3">
        <v>44715</v>
      </c>
      <c r="B47" s="4" t="s">
        <v>729</v>
      </c>
      <c r="C47" s="4">
        <v>35527928</v>
      </c>
      <c r="D47" s="4">
        <v>202205</v>
      </c>
      <c r="E47" s="4">
        <v>1</v>
      </c>
      <c r="F47" s="19">
        <v>0</v>
      </c>
      <c r="G47" s="4" t="s">
        <v>730</v>
      </c>
      <c r="H47" s="14">
        <v>92.43</v>
      </c>
      <c r="I47" s="14">
        <v>92.43</v>
      </c>
      <c r="J47" s="4"/>
      <c r="K47" s="22">
        <f>SUM(I41:I51)</f>
        <v>1021.9800000000001</v>
      </c>
    </row>
    <row r="48" spans="1:11" ht="45" x14ac:dyDescent="0.25">
      <c r="A48" s="3">
        <v>44683</v>
      </c>
      <c r="B48" s="4" t="s">
        <v>729</v>
      </c>
      <c r="C48" s="4">
        <v>35316122</v>
      </c>
      <c r="D48" s="4">
        <v>202204</v>
      </c>
      <c r="E48" s="4">
        <v>1</v>
      </c>
      <c r="F48" s="19">
        <v>0</v>
      </c>
      <c r="G48" s="4" t="s">
        <v>730</v>
      </c>
      <c r="H48" s="14">
        <v>91.93</v>
      </c>
      <c r="I48" s="14">
        <v>91.93</v>
      </c>
      <c r="J48" s="4"/>
    </row>
    <row r="49" spans="1:11" ht="45" x14ac:dyDescent="0.25">
      <c r="A49" s="3">
        <v>44651</v>
      </c>
      <c r="B49" s="4" t="s">
        <v>729</v>
      </c>
      <c r="C49" s="4">
        <v>35090167</v>
      </c>
      <c r="D49" s="4">
        <v>202203</v>
      </c>
      <c r="E49" s="4">
        <v>1</v>
      </c>
      <c r="F49" s="19">
        <v>0</v>
      </c>
      <c r="G49" s="4" t="s">
        <v>730</v>
      </c>
      <c r="H49" s="14">
        <v>91.03</v>
      </c>
      <c r="I49" s="14">
        <v>91.03</v>
      </c>
      <c r="J49" s="4"/>
    </row>
    <row r="50" spans="1:11" ht="45" x14ac:dyDescent="0.25">
      <c r="A50" s="3">
        <v>44624</v>
      </c>
      <c r="B50" s="4" t="s">
        <v>729</v>
      </c>
      <c r="C50" s="4">
        <v>34898280</v>
      </c>
      <c r="D50" s="4">
        <v>202202</v>
      </c>
      <c r="E50" s="4">
        <v>1</v>
      </c>
      <c r="F50" s="19">
        <v>0</v>
      </c>
      <c r="G50" s="4" t="s">
        <v>730</v>
      </c>
      <c r="H50" s="14">
        <v>90.29</v>
      </c>
      <c r="I50" s="14">
        <v>90.29</v>
      </c>
      <c r="J50" s="4"/>
    </row>
    <row r="51" spans="1:11" ht="45" x14ac:dyDescent="0.25">
      <c r="A51" s="3">
        <v>44593</v>
      </c>
      <c r="B51" s="4" t="s">
        <v>729</v>
      </c>
      <c r="C51" s="4">
        <v>34702920</v>
      </c>
      <c r="D51" s="4">
        <v>202201</v>
      </c>
      <c r="E51" s="4">
        <v>1</v>
      </c>
      <c r="F51" s="19">
        <v>0</v>
      </c>
      <c r="G51" s="4" t="s">
        <v>730</v>
      </c>
      <c r="H51" s="14">
        <v>90.58</v>
      </c>
      <c r="I51" s="14">
        <v>90.58</v>
      </c>
      <c r="J51" s="4"/>
    </row>
    <row r="52" spans="1:11" ht="33.75" x14ac:dyDescent="0.25">
      <c r="A52" s="6">
        <v>44575</v>
      </c>
      <c r="B52" s="7" t="s">
        <v>731</v>
      </c>
      <c r="C52" s="7">
        <v>612145301</v>
      </c>
      <c r="D52" s="7">
        <v>202200</v>
      </c>
      <c r="E52" s="7">
        <v>109</v>
      </c>
      <c r="F52" s="15">
        <v>0</v>
      </c>
      <c r="G52" s="7" t="s">
        <v>732</v>
      </c>
      <c r="H52" s="15">
        <v>1039.6199999999999</v>
      </c>
      <c r="I52" s="15">
        <v>1039.6199999999999</v>
      </c>
      <c r="J52" s="7"/>
    </row>
    <row r="53" spans="1:11" ht="45" x14ac:dyDescent="0.25">
      <c r="A53" s="8">
        <v>44560</v>
      </c>
      <c r="B53" s="9" t="s">
        <v>729</v>
      </c>
      <c r="C53" s="9">
        <v>34497295</v>
      </c>
      <c r="D53" s="9">
        <v>202112</v>
      </c>
      <c r="E53" s="9">
        <v>1</v>
      </c>
      <c r="F53" s="20">
        <v>0</v>
      </c>
      <c r="G53" s="9" t="s">
        <v>730</v>
      </c>
      <c r="H53" s="16">
        <v>88.04</v>
      </c>
      <c r="I53" s="16">
        <v>88.04</v>
      </c>
      <c r="J53" s="9"/>
      <c r="K53" s="10"/>
    </row>
    <row r="54" spans="1:11" ht="45" x14ac:dyDescent="0.25">
      <c r="A54" s="8">
        <v>44532</v>
      </c>
      <c r="B54" s="9" t="s">
        <v>729</v>
      </c>
      <c r="C54" s="9">
        <v>34287377</v>
      </c>
      <c r="D54" s="9">
        <v>202111</v>
      </c>
      <c r="E54" s="9">
        <v>1</v>
      </c>
      <c r="F54" s="20">
        <v>0</v>
      </c>
      <c r="G54" s="9" t="s">
        <v>730</v>
      </c>
      <c r="H54" s="16">
        <v>87.06</v>
      </c>
      <c r="I54" s="16">
        <v>87.06</v>
      </c>
      <c r="J54" s="9"/>
      <c r="K54" s="10"/>
    </row>
    <row r="55" spans="1:11" ht="45" x14ac:dyDescent="0.25">
      <c r="A55" s="8">
        <v>44504</v>
      </c>
      <c r="B55" s="9" t="s">
        <v>729</v>
      </c>
      <c r="C55" s="9">
        <v>34060729</v>
      </c>
      <c r="D55" s="9">
        <v>202110</v>
      </c>
      <c r="E55" s="9">
        <v>1</v>
      </c>
      <c r="F55" s="20">
        <v>0</v>
      </c>
      <c r="G55" s="9" t="s">
        <v>730</v>
      </c>
      <c r="H55" s="16">
        <v>86.33</v>
      </c>
      <c r="I55" s="16">
        <v>86.33</v>
      </c>
      <c r="J55" s="9"/>
      <c r="K55" s="10"/>
    </row>
    <row r="56" spans="1:11" ht="45" x14ac:dyDescent="0.25">
      <c r="A56" s="8">
        <v>44469</v>
      </c>
      <c r="B56" s="9" t="s">
        <v>729</v>
      </c>
      <c r="C56" s="9">
        <v>33851064</v>
      </c>
      <c r="D56" s="9">
        <v>202109</v>
      </c>
      <c r="E56" s="9">
        <v>1</v>
      </c>
      <c r="F56" s="20">
        <v>0</v>
      </c>
      <c r="G56" s="9" t="s">
        <v>730</v>
      </c>
      <c r="H56" s="16">
        <v>85.82</v>
      </c>
      <c r="I56" s="16">
        <v>85.82</v>
      </c>
      <c r="J56" s="9"/>
      <c r="K56" s="10"/>
    </row>
    <row r="57" spans="1:11" ht="45" x14ac:dyDescent="0.25">
      <c r="A57" s="8">
        <v>44439</v>
      </c>
      <c r="B57" s="9" t="s">
        <v>729</v>
      </c>
      <c r="C57" s="9">
        <v>33631882</v>
      </c>
      <c r="D57" s="9">
        <v>202108</v>
      </c>
      <c r="E57" s="9">
        <v>1</v>
      </c>
      <c r="F57" s="20">
        <v>0</v>
      </c>
      <c r="G57" s="9" t="s">
        <v>730</v>
      </c>
      <c r="H57" s="16">
        <v>85.65</v>
      </c>
      <c r="I57" s="16">
        <v>85.65</v>
      </c>
      <c r="J57" s="9"/>
      <c r="K57" s="10"/>
    </row>
    <row r="58" spans="1:11" ht="45" x14ac:dyDescent="0.25">
      <c r="A58" s="8">
        <v>44410</v>
      </c>
      <c r="B58" s="9" t="s">
        <v>729</v>
      </c>
      <c r="C58" s="9">
        <v>33449619</v>
      </c>
      <c r="D58" s="9">
        <v>202107</v>
      </c>
      <c r="E58" s="9">
        <v>1</v>
      </c>
      <c r="F58" s="20">
        <v>0</v>
      </c>
      <c r="G58" s="9" t="s">
        <v>730</v>
      </c>
      <c r="H58" s="16">
        <v>85.15</v>
      </c>
      <c r="I58" s="16">
        <v>85.15</v>
      </c>
      <c r="J58" s="9"/>
      <c r="K58" s="10"/>
    </row>
    <row r="59" spans="1:11" ht="45" x14ac:dyDescent="0.25">
      <c r="A59" s="8">
        <v>44378</v>
      </c>
      <c r="B59" s="9" t="s">
        <v>729</v>
      </c>
      <c r="C59" s="9">
        <v>33265294</v>
      </c>
      <c r="D59" s="9">
        <v>202106</v>
      </c>
      <c r="E59" s="9">
        <v>1</v>
      </c>
      <c r="F59" s="20">
        <v>0</v>
      </c>
      <c r="G59" s="9" t="s">
        <v>730</v>
      </c>
      <c r="H59" s="16">
        <v>84.71</v>
      </c>
      <c r="I59" s="16">
        <v>84.71</v>
      </c>
      <c r="J59" s="9"/>
      <c r="K59" s="10"/>
    </row>
    <row r="60" spans="1:11" ht="45" x14ac:dyDescent="0.25">
      <c r="A60" s="8">
        <v>44343</v>
      </c>
      <c r="B60" s="9" t="s">
        <v>729</v>
      </c>
      <c r="C60" s="9">
        <v>33035464</v>
      </c>
      <c r="D60" s="9">
        <v>202105</v>
      </c>
      <c r="E60" s="9">
        <v>1</v>
      </c>
      <c r="F60" s="20">
        <v>0</v>
      </c>
      <c r="G60" s="9" t="s">
        <v>730</v>
      </c>
      <c r="H60" s="16">
        <v>84.53</v>
      </c>
      <c r="I60" s="16">
        <v>84.53</v>
      </c>
      <c r="J60" s="9"/>
      <c r="K60" s="10"/>
    </row>
    <row r="61" spans="1:11" ht="45" x14ac:dyDescent="0.25">
      <c r="A61" s="8">
        <v>44319</v>
      </c>
      <c r="B61" s="9" t="s">
        <v>729</v>
      </c>
      <c r="C61" s="9">
        <v>32835606</v>
      </c>
      <c r="D61" s="9">
        <v>202104</v>
      </c>
      <c r="E61" s="9">
        <v>1</v>
      </c>
      <c r="F61" s="20">
        <v>0</v>
      </c>
      <c r="G61" s="9" t="s">
        <v>730</v>
      </c>
      <c r="H61" s="16">
        <v>84.27</v>
      </c>
      <c r="I61" s="16">
        <v>84.27</v>
      </c>
      <c r="J61" s="9"/>
      <c r="K61" s="23">
        <f>SUM(I53:I65)</f>
        <v>1103.21</v>
      </c>
    </row>
    <row r="62" spans="1:11" ht="45" x14ac:dyDescent="0.25">
      <c r="A62" s="8">
        <v>44286</v>
      </c>
      <c r="B62" s="9" t="s">
        <v>729</v>
      </c>
      <c r="C62" s="9">
        <v>32652122</v>
      </c>
      <c r="D62" s="9">
        <v>202103</v>
      </c>
      <c r="E62" s="9">
        <v>1</v>
      </c>
      <c r="F62" s="20">
        <v>0</v>
      </c>
      <c r="G62" s="9" t="s">
        <v>730</v>
      </c>
      <c r="H62" s="16">
        <v>83.58</v>
      </c>
      <c r="I62" s="16">
        <v>83.58</v>
      </c>
      <c r="J62" s="9"/>
      <c r="K62" s="10"/>
    </row>
    <row r="63" spans="1:11" ht="45" x14ac:dyDescent="0.25">
      <c r="A63" s="8">
        <v>44258</v>
      </c>
      <c r="B63" s="9" t="s">
        <v>729</v>
      </c>
      <c r="C63" s="9">
        <v>32434810</v>
      </c>
      <c r="D63" s="9">
        <v>202102</v>
      </c>
      <c r="E63" s="9">
        <v>1</v>
      </c>
      <c r="F63" s="20">
        <v>0</v>
      </c>
      <c r="G63" s="9" t="s">
        <v>730</v>
      </c>
      <c r="H63" s="16">
        <v>83.07</v>
      </c>
      <c r="I63" s="16">
        <v>83.07</v>
      </c>
      <c r="J63" s="9"/>
      <c r="K63" s="10"/>
    </row>
    <row r="64" spans="1:11" ht="45" x14ac:dyDescent="0.25">
      <c r="A64" s="8">
        <v>44232</v>
      </c>
      <c r="B64" s="9" t="s">
        <v>729</v>
      </c>
      <c r="C64" s="9">
        <v>32238835</v>
      </c>
      <c r="D64" s="9">
        <v>202101</v>
      </c>
      <c r="E64" s="9">
        <v>1</v>
      </c>
      <c r="F64" s="20">
        <v>0</v>
      </c>
      <c r="G64" s="9" t="s">
        <v>730</v>
      </c>
      <c r="H64" s="16">
        <v>82.36</v>
      </c>
      <c r="I64" s="16">
        <v>82.36</v>
      </c>
      <c r="J64" s="9"/>
      <c r="K64" s="10"/>
    </row>
    <row r="65" spans="1:11" ht="33.75" x14ac:dyDescent="0.25">
      <c r="A65" s="8">
        <v>44230</v>
      </c>
      <c r="B65" s="9" t="s">
        <v>733</v>
      </c>
      <c r="C65" s="9">
        <v>32060721</v>
      </c>
      <c r="D65" s="9">
        <v>202012</v>
      </c>
      <c r="E65" s="9">
        <v>96</v>
      </c>
      <c r="F65" s="20">
        <v>0</v>
      </c>
      <c r="G65" s="9" t="s">
        <v>732</v>
      </c>
      <c r="H65" s="16">
        <v>82.64</v>
      </c>
      <c r="I65" s="16">
        <v>82.64</v>
      </c>
      <c r="J65" s="9"/>
      <c r="K65" s="10"/>
    </row>
    <row r="66" spans="1:11" ht="33.75" x14ac:dyDescent="0.25">
      <c r="A66" s="24">
        <v>44174</v>
      </c>
      <c r="B66" s="25" t="s">
        <v>731</v>
      </c>
      <c r="C66" s="25">
        <v>990929901</v>
      </c>
      <c r="D66" s="25">
        <v>202100</v>
      </c>
      <c r="E66" s="25">
        <v>38</v>
      </c>
      <c r="F66" s="26">
        <v>0</v>
      </c>
      <c r="G66" s="25" t="s">
        <v>732</v>
      </c>
      <c r="H66" s="26">
        <v>1697.18</v>
      </c>
      <c r="I66" s="26">
        <v>1697.18</v>
      </c>
      <c r="J66" s="9"/>
      <c r="K66" s="10"/>
    </row>
    <row r="67" spans="1:11" ht="33.75" x14ac:dyDescent="0.25">
      <c r="A67" s="3">
        <v>44173</v>
      </c>
      <c r="B67" s="4" t="s">
        <v>729</v>
      </c>
      <c r="C67" s="4">
        <v>31850103</v>
      </c>
      <c r="D67" s="4">
        <v>202011</v>
      </c>
      <c r="E67" s="4">
        <v>69</v>
      </c>
      <c r="F67" s="19">
        <v>0</v>
      </c>
      <c r="G67" s="4" t="s">
        <v>732</v>
      </c>
      <c r="H67" s="14">
        <v>81.99</v>
      </c>
      <c r="I67" s="14">
        <v>81.99</v>
      </c>
      <c r="J67" s="4"/>
    </row>
    <row r="68" spans="1:11" ht="33.75" x14ac:dyDescent="0.25">
      <c r="A68" s="3">
        <v>44154</v>
      </c>
      <c r="B68" s="4" t="s">
        <v>729</v>
      </c>
      <c r="C68" s="4">
        <v>31654320</v>
      </c>
      <c r="D68" s="4">
        <v>202010</v>
      </c>
      <c r="E68" s="4">
        <v>40</v>
      </c>
      <c r="F68" s="19">
        <v>0</v>
      </c>
      <c r="G68" s="4" t="s">
        <v>732</v>
      </c>
      <c r="H68" s="14">
        <v>81.81</v>
      </c>
      <c r="I68" s="14">
        <v>81.81</v>
      </c>
      <c r="J68" s="4"/>
    </row>
    <row r="69" spans="1:11" ht="22.5" x14ac:dyDescent="0.25">
      <c r="A69" s="3">
        <v>44124</v>
      </c>
      <c r="B69" s="4" t="s">
        <v>729</v>
      </c>
      <c r="C69" s="4">
        <v>31444130</v>
      </c>
      <c r="D69" s="4">
        <v>202009</v>
      </c>
      <c r="E69" s="4">
        <v>8</v>
      </c>
      <c r="F69" s="19">
        <v>0</v>
      </c>
      <c r="G69" s="4" t="s">
        <v>736</v>
      </c>
      <c r="H69" s="14">
        <v>81.62</v>
      </c>
      <c r="I69" s="14">
        <v>81.62</v>
      </c>
      <c r="J69" s="4"/>
    </row>
    <row r="70" spans="1:11" ht="33.75" x14ac:dyDescent="0.25">
      <c r="A70" s="3">
        <v>44081</v>
      </c>
      <c r="B70" s="4" t="s">
        <v>729</v>
      </c>
      <c r="C70" s="4">
        <v>31215297</v>
      </c>
      <c r="D70" s="4">
        <v>202008</v>
      </c>
      <c r="E70" s="4">
        <v>62</v>
      </c>
      <c r="F70" s="19">
        <v>0</v>
      </c>
      <c r="G70" s="4" t="s">
        <v>732</v>
      </c>
      <c r="H70" s="14">
        <v>81</v>
      </c>
      <c r="I70" s="14">
        <v>81</v>
      </c>
      <c r="J70" s="4"/>
    </row>
    <row r="71" spans="1:11" ht="33.75" x14ac:dyDescent="0.25">
      <c r="A71" s="3">
        <v>44046</v>
      </c>
      <c r="B71" s="4" t="s">
        <v>729</v>
      </c>
      <c r="C71" s="4">
        <v>31017115</v>
      </c>
      <c r="D71" s="4">
        <v>202007</v>
      </c>
      <c r="E71" s="4">
        <v>74</v>
      </c>
      <c r="F71" s="19">
        <v>0</v>
      </c>
      <c r="G71" s="4" t="s">
        <v>732</v>
      </c>
      <c r="H71" s="14">
        <v>80.48</v>
      </c>
      <c r="I71" s="14">
        <v>80.48</v>
      </c>
      <c r="J71" s="4"/>
    </row>
    <row r="72" spans="1:11" ht="33.75" x14ac:dyDescent="0.25">
      <c r="A72" s="3">
        <v>44014</v>
      </c>
      <c r="B72" s="4" t="s">
        <v>729</v>
      </c>
      <c r="C72" s="4">
        <v>30823596</v>
      </c>
      <c r="D72" s="4">
        <v>202006</v>
      </c>
      <c r="E72" s="4">
        <v>97</v>
      </c>
      <c r="F72" s="19">
        <v>0</v>
      </c>
      <c r="G72" s="4" t="s">
        <v>732</v>
      </c>
      <c r="H72" s="14">
        <v>80.05</v>
      </c>
      <c r="I72" s="14">
        <v>80.05</v>
      </c>
      <c r="J72" s="4"/>
    </row>
    <row r="73" spans="1:11" ht="33.75" x14ac:dyDescent="0.25">
      <c r="A73" s="3">
        <v>43982</v>
      </c>
      <c r="B73" s="4" t="s">
        <v>729</v>
      </c>
      <c r="C73" s="4">
        <v>30621044</v>
      </c>
      <c r="D73" s="4">
        <v>202005</v>
      </c>
      <c r="E73" s="4">
        <v>14</v>
      </c>
      <c r="F73" s="19">
        <v>0</v>
      </c>
      <c r="G73" s="4" t="s">
        <v>732</v>
      </c>
      <c r="H73" s="14">
        <v>79.75</v>
      </c>
      <c r="I73" s="14">
        <v>79.75</v>
      </c>
      <c r="J73" s="4"/>
    </row>
    <row r="74" spans="1:11" ht="33.75" x14ac:dyDescent="0.25">
      <c r="A74" s="3">
        <v>43952</v>
      </c>
      <c r="B74" s="4" t="s">
        <v>729</v>
      </c>
      <c r="C74" s="4">
        <v>30418555</v>
      </c>
      <c r="D74" s="4">
        <v>202004</v>
      </c>
      <c r="E74" s="4">
        <v>41</v>
      </c>
      <c r="F74" s="19">
        <v>0</v>
      </c>
      <c r="G74" s="4" t="s">
        <v>732</v>
      </c>
      <c r="H74" s="14">
        <v>79.75</v>
      </c>
      <c r="I74" s="14">
        <v>79.75</v>
      </c>
      <c r="J74" s="4"/>
    </row>
    <row r="75" spans="1:11" ht="33.75" x14ac:dyDescent="0.25">
      <c r="A75" s="3">
        <v>43929</v>
      </c>
      <c r="B75" s="4" t="s">
        <v>729</v>
      </c>
      <c r="C75" s="4">
        <v>30192455</v>
      </c>
      <c r="D75" s="4">
        <v>202003</v>
      </c>
      <c r="E75" s="4">
        <v>45</v>
      </c>
      <c r="F75" s="19">
        <v>0</v>
      </c>
      <c r="G75" s="4" t="s">
        <v>732</v>
      </c>
      <c r="H75" s="14">
        <v>109.01</v>
      </c>
      <c r="I75" s="14">
        <v>109.01</v>
      </c>
      <c r="J75" s="4"/>
    </row>
    <row r="76" spans="1:11" ht="33.75" x14ac:dyDescent="0.25">
      <c r="A76" s="3">
        <v>43899</v>
      </c>
      <c r="B76" s="4" t="s">
        <v>729</v>
      </c>
      <c r="C76" s="4">
        <v>29988802</v>
      </c>
      <c r="D76" s="4">
        <v>202002</v>
      </c>
      <c r="E76" s="4">
        <v>14</v>
      </c>
      <c r="F76" s="19">
        <v>0</v>
      </c>
      <c r="G76" s="4" t="s">
        <v>732</v>
      </c>
      <c r="H76" s="14">
        <v>108.57</v>
      </c>
      <c r="I76" s="14">
        <v>108.57</v>
      </c>
      <c r="J76" s="4"/>
    </row>
    <row r="77" spans="1:11" ht="33.75" x14ac:dyDescent="0.25">
      <c r="A77" s="3">
        <v>43868</v>
      </c>
      <c r="B77" s="4" t="s">
        <v>729</v>
      </c>
      <c r="C77" s="4">
        <v>29773923</v>
      </c>
      <c r="D77" s="4">
        <v>202001</v>
      </c>
      <c r="E77" s="4">
        <v>37</v>
      </c>
      <c r="F77" s="19">
        <v>0</v>
      </c>
      <c r="G77" s="4" t="s">
        <v>732</v>
      </c>
      <c r="H77" s="14">
        <v>79.36</v>
      </c>
      <c r="I77" s="14">
        <v>79.36</v>
      </c>
      <c r="J77" s="4"/>
    </row>
    <row r="78" spans="1:11" ht="45" x14ac:dyDescent="0.25">
      <c r="A78" s="3">
        <v>43857</v>
      </c>
      <c r="B78" s="4" t="s">
        <v>733</v>
      </c>
      <c r="C78" s="4">
        <v>28979512</v>
      </c>
      <c r="D78" s="4">
        <v>201909</v>
      </c>
      <c r="E78" s="4">
        <v>16</v>
      </c>
      <c r="F78" s="19">
        <v>343315</v>
      </c>
      <c r="G78" s="4" t="s">
        <v>737</v>
      </c>
      <c r="H78" s="14">
        <v>225.89</v>
      </c>
      <c r="I78" s="14">
        <v>225.89</v>
      </c>
      <c r="J78" s="4"/>
    </row>
    <row r="79" spans="1:11" ht="45" x14ac:dyDescent="0.25">
      <c r="A79" s="3">
        <v>43857</v>
      </c>
      <c r="B79" s="4" t="s">
        <v>733</v>
      </c>
      <c r="C79" s="4">
        <v>29178688</v>
      </c>
      <c r="D79" s="4">
        <v>201910</v>
      </c>
      <c r="E79" s="4">
        <v>16</v>
      </c>
      <c r="F79" s="19">
        <v>0</v>
      </c>
      <c r="G79" s="4" t="s">
        <v>737</v>
      </c>
      <c r="H79" s="14">
        <v>222.92</v>
      </c>
      <c r="I79" s="14">
        <v>222.92</v>
      </c>
      <c r="J79" s="4"/>
    </row>
    <row r="80" spans="1:11" ht="45" x14ac:dyDescent="0.25">
      <c r="A80" s="3">
        <v>43857</v>
      </c>
      <c r="B80" s="4" t="s">
        <v>733</v>
      </c>
      <c r="C80" s="4">
        <v>29388712</v>
      </c>
      <c r="D80" s="4">
        <v>201911</v>
      </c>
      <c r="E80" s="4">
        <v>16</v>
      </c>
      <c r="F80" s="19">
        <v>0</v>
      </c>
      <c r="G80" s="4" t="s">
        <v>737</v>
      </c>
      <c r="H80" s="14">
        <v>219.97</v>
      </c>
      <c r="I80" s="14">
        <v>219.97</v>
      </c>
      <c r="J80" s="4"/>
    </row>
    <row r="81" spans="1:10" ht="45" x14ac:dyDescent="0.25">
      <c r="A81" s="3">
        <v>43857</v>
      </c>
      <c r="B81" s="4" t="s">
        <v>733</v>
      </c>
      <c r="C81" s="4">
        <v>29609642</v>
      </c>
      <c r="D81" s="4">
        <v>201912</v>
      </c>
      <c r="E81" s="4">
        <v>16</v>
      </c>
      <c r="F81" s="19">
        <v>0</v>
      </c>
      <c r="G81" s="4" t="s">
        <v>737</v>
      </c>
      <c r="H81" s="14">
        <v>217.82</v>
      </c>
      <c r="I81" s="14">
        <v>217.82</v>
      </c>
      <c r="J81" s="4"/>
    </row>
    <row r="82" spans="1:10" ht="45" x14ac:dyDescent="0.25">
      <c r="A82" s="3">
        <v>43853</v>
      </c>
      <c r="B82" s="4" t="s">
        <v>738</v>
      </c>
      <c r="C82" s="4">
        <v>247534</v>
      </c>
      <c r="D82" s="4">
        <v>0</v>
      </c>
      <c r="E82" s="4">
        <v>201</v>
      </c>
      <c r="F82" s="19">
        <v>2675.02</v>
      </c>
      <c r="G82" s="4" t="s">
        <v>737</v>
      </c>
      <c r="H82" s="14">
        <v>140</v>
      </c>
      <c r="I82" s="17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0707-7276-4254-B2FA-4FEC6CD65121}">
  <dimension ref="A1:B238"/>
  <sheetViews>
    <sheetView topLeftCell="A217" workbookViewId="0">
      <selection activeCell="B220" sqref="B220"/>
    </sheetView>
  </sheetViews>
  <sheetFormatPr baseColWidth="10" defaultRowHeight="15" x14ac:dyDescent="0.25"/>
  <cols>
    <col min="1" max="1" width="15.5703125" bestFit="1" customWidth="1"/>
    <col min="2" max="2" width="17.42578125" bestFit="1" customWidth="1"/>
  </cols>
  <sheetData>
    <row r="1" spans="1:2" x14ac:dyDescent="0.25">
      <c r="A1" t="s">
        <v>483</v>
      </c>
      <c r="B1" t="s">
        <v>484</v>
      </c>
    </row>
    <row r="2" spans="1:2" x14ac:dyDescent="0.25">
      <c r="A2" t="s">
        <v>388</v>
      </c>
      <c r="B2" t="s">
        <v>485</v>
      </c>
    </row>
    <row r="3" spans="1:2" x14ac:dyDescent="0.25">
      <c r="A3" t="s">
        <v>454</v>
      </c>
      <c r="B3" t="s">
        <v>486</v>
      </c>
    </row>
    <row r="4" spans="1:2" x14ac:dyDescent="0.25">
      <c r="A4" t="s">
        <v>322</v>
      </c>
      <c r="B4" t="s">
        <v>487</v>
      </c>
    </row>
    <row r="5" spans="1:2" x14ac:dyDescent="0.25">
      <c r="A5" t="s">
        <v>309</v>
      </c>
      <c r="B5" t="s">
        <v>488</v>
      </c>
    </row>
    <row r="6" spans="1:2" x14ac:dyDescent="0.25">
      <c r="A6" t="s">
        <v>360</v>
      </c>
      <c r="B6" t="s">
        <v>489</v>
      </c>
    </row>
    <row r="7" spans="1:2" x14ac:dyDescent="0.25">
      <c r="A7" t="s">
        <v>435</v>
      </c>
      <c r="B7" t="s">
        <v>490</v>
      </c>
    </row>
    <row r="8" spans="1:2" x14ac:dyDescent="0.25">
      <c r="A8" t="s">
        <v>469</v>
      </c>
      <c r="B8" t="s">
        <v>491</v>
      </c>
    </row>
    <row r="9" spans="1:2" x14ac:dyDescent="0.25">
      <c r="A9" t="s">
        <v>323</v>
      </c>
      <c r="B9" t="s">
        <v>492</v>
      </c>
    </row>
    <row r="10" spans="1:2" x14ac:dyDescent="0.25">
      <c r="A10" t="s">
        <v>448</v>
      </c>
      <c r="B10" t="s">
        <v>493</v>
      </c>
    </row>
    <row r="11" spans="1:2" x14ac:dyDescent="0.25">
      <c r="A11" t="s">
        <v>313</v>
      </c>
      <c r="B11" t="s">
        <v>494</v>
      </c>
    </row>
    <row r="12" spans="1:2" x14ac:dyDescent="0.25">
      <c r="A12" t="s">
        <v>391</v>
      </c>
      <c r="B12" t="s">
        <v>495</v>
      </c>
    </row>
    <row r="13" spans="1:2" x14ac:dyDescent="0.25">
      <c r="A13" t="s">
        <v>337</v>
      </c>
      <c r="B13" t="s">
        <v>496</v>
      </c>
    </row>
    <row r="14" spans="1:2" x14ac:dyDescent="0.25">
      <c r="A14" t="s">
        <v>280</v>
      </c>
      <c r="B14" t="s">
        <v>497</v>
      </c>
    </row>
    <row r="15" spans="1:2" x14ac:dyDescent="0.25">
      <c r="A15" t="s">
        <v>261</v>
      </c>
      <c r="B15" t="s">
        <v>498</v>
      </c>
    </row>
    <row r="16" spans="1:2" x14ac:dyDescent="0.25">
      <c r="A16" t="s">
        <v>470</v>
      </c>
      <c r="B16" t="s">
        <v>499</v>
      </c>
    </row>
    <row r="17" spans="1:2" x14ac:dyDescent="0.25">
      <c r="A17" t="s">
        <v>397</v>
      </c>
      <c r="B17" t="s">
        <v>500</v>
      </c>
    </row>
    <row r="18" spans="1:2" x14ac:dyDescent="0.25">
      <c r="A18" t="s">
        <v>465</v>
      </c>
      <c r="B18" t="s">
        <v>501</v>
      </c>
    </row>
    <row r="19" spans="1:2" x14ac:dyDescent="0.25">
      <c r="A19" t="s">
        <v>417</v>
      </c>
      <c r="B19" t="s">
        <v>502</v>
      </c>
    </row>
    <row r="20" spans="1:2" x14ac:dyDescent="0.25">
      <c r="A20" s="1" t="s">
        <v>466</v>
      </c>
      <c r="B20" s="1" t="s">
        <v>503</v>
      </c>
    </row>
    <row r="21" spans="1:2" x14ac:dyDescent="0.25">
      <c r="A21" s="1" t="s">
        <v>271</v>
      </c>
      <c r="B21" s="1" t="s">
        <v>503</v>
      </c>
    </row>
    <row r="22" spans="1:2" x14ac:dyDescent="0.25">
      <c r="A22" t="s">
        <v>267</v>
      </c>
      <c r="B22" t="s">
        <v>504</v>
      </c>
    </row>
    <row r="23" spans="1:2" x14ac:dyDescent="0.25">
      <c r="A23" t="s">
        <v>472</v>
      </c>
      <c r="B23" t="s">
        <v>505</v>
      </c>
    </row>
    <row r="24" spans="1:2" x14ac:dyDescent="0.25">
      <c r="A24" t="s">
        <v>473</v>
      </c>
      <c r="B24" t="s">
        <v>506</v>
      </c>
    </row>
    <row r="25" spans="1:2" x14ac:dyDescent="0.25">
      <c r="A25" t="s">
        <v>474</v>
      </c>
      <c r="B25" t="s">
        <v>507</v>
      </c>
    </row>
    <row r="26" spans="1:2" x14ac:dyDescent="0.25">
      <c r="A26" t="s">
        <v>475</v>
      </c>
      <c r="B26" t="s">
        <v>508</v>
      </c>
    </row>
    <row r="27" spans="1:2" x14ac:dyDescent="0.25">
      <c r="A27" t="s">
        <v>476</v>
      </c>
      <c r="B27" t="s">
        <v>509</v>
      </c>
    </row>
    <row r="28" spans="1:2" x14ac:dyDescent="0.25">
      <c r="A28" t="s">
        <v>477</v>
      </c>
      <c r="B28" t="s">
        <v>510</v>
      </c>
    </row>
    <row r="29" spans="1:2" x14ac:dyDescent="0.25">
      <c r="A29" t="s">
        <v>478</v>
      </c>
      <c r="B29" t="s">
        <v>511</v>
      </c>
    </row>
    <row r="30" spans="1:2" x14ac:dyDescent="0.25">
      <c r="A30" t="s">
        <v>479</v>
      </c>
      <c r="B30" t="s">
        <v>512</v>
      </c>
    </row>
    <row r="31" spans="1:2" x14ac:dyDescent="0.25">
      <c r="A31" t="s">
        <v>480</v>
      </c>
      <c r="B31" t="s">
        <v>513</v>
      </c>
    </row>
    <row r="32" spans="1:2" x14ac:dyDescent="0.25">
      <c r="A32" t="s">
        <v>481</v>
      </c>
      <c r="B32" t="s">
        <v>514</v>
      </c>
    </row>
    <row r="33" spans="1:2" x14ac:dyDescent="0.25">
      <c r="A33" t="s">
        <v>482</v>
      </c>
      <c r="B33" t="s">
        <v>515</v>
      </c>
    </row>
    <row r="34" spans="1:2" x14ac:dyDescent="0.25">
      <c r="A34" t="s">
        <v>440</v>
      </c>
      <c r="B34" t="s">
        <v>516</v>
      </c>
    </row>
    <row r="35" spans="1:2" x14ac:dyDescent="0.25">
      <c r="A35" t="s">
        <v>372</v>
      </c>
      <c r="B35" t="s">
        <v>517</v>
      </c>
    </row>
    <row r="36" spans="1:2" x14ac:dyDescent="0.25">
      <c r="A36" t="s">
        <v>427</v>
      </c>
      <c r="B36" t="s">
        <v>518</v>
      </c>
    </row>
    <row r="37" spans="1:2" x14ac:dyDescent="0.25">
      <c r="A37" t="s">
        <v>370</v>
      </c>
      <c r="B37" t="s">
        <v>519</v>
      </c>
    </row>
    <row r="38" spans="1:2" x14ac:dyDescent="0.25">
      <c r="A38" t="s">
        <v>311</v>
      </c>
      <c r="B38" t="s">
        <v>520</v>
      </c>
    </row>
    <row r="39" spans="1:2" x14ac:dyDescent="0.25">
      <c r="A39" t="s">
        <v>247</v>
      </c>
      <c r="B39" t="s">
        <v>521</v>
      </c>
    </row>
    <row r="40" spans="1:2" x14ac:dyDescent="0.25">
      <c r="A40" t="s">
        <v>384</v>
      </c>
      <c r="B40" t="s">
        <v>522</v>
      </c>
    </row>
    <row r="41" spans="1:2" x14ac:dyDescent="0.25">
      <c r="A41" t="s">
        <v>336</v>
      </c>
      <c r="B41" t="s">
        <v>523</v>
      </c>
    </row>
    <row r="42" spans="1:2" x14ac:dyDescent="0.25">
      <c r="A42" t="s">
        <v>425</v>
      </c>
      <c r="B42" t="s">
        <v>524</v>
      </c>
    </row>
    <row r="43" spans="1:2" x14ac:dyDescent="0.25">
      <c r="A43" t="s">
        <v>296</v>
      </c>
      <c r="B43" t="s">
        <v>525</v>
      </c>
    </row>
    <row r="44" spans="1:2" x14ac:dyDescent="0.25">
      <c r="A44" t="s">
        <v>430</v>
      </c>
      <c r="B44" t="s">
        <v>526</v>
      </c>
    </row>
    <row r="45" spans="1:2" x14ac:dyDescent="0.25">
      <c r="A45" t="s">
        <v>314</v>
      </c>
      <c r="B45" t="s">
        <v>527</v>
      </c>
    </row>
    <row r="46" spans="1:2" x14ac:dyDescent="0.25">
      <c r="A46" t="s">
        <v>268</v>
      </c>
      <c r="B46" t="s">
        <v>528</v>
      </c>
    </row>
    <row r="47" spans="1:2" x14ac:dyDescent="0.25">
      <c r="A47" t="s">
        <v>260</v>
      </c>
      <c r="B47" t="s">
        <v>529</v>
      </c>
    </row>
    <row r="48" spans="1:2" x14ac:dyDescent="0.25">
      <c r="A48" t="s">
        <v>262</v>
      </c>
      <c r="B48" t="s">
        <v>530</v>
      </c>
    </row>
    <row r="49" spans="1:2" x14ac:dyDescent="0.25">
      <c r="A49" t="s">
        <v>338</v>
      </c>
      <c r="B49" t="s">
        <v>531</v>
      </c>
    </row>
    <row r="50" spans="1:2" x14ac:dyDescent="0.25">
      <c r="A50" t="s">
        <v>421</v>
      </c>
      <c r="B50" t="s">
        <v>532</v>
      </c>
    </row>
    <row r="51" spans="1:2" x14ac:dyDescent="0.25">
      <c r="A51" t="s">
        <v>318</v>
      </c>
      <c r="B51" t="s">
        <v>533</v>
      </c>
    </row>
    <row r="52" spans="1:2" x14ac:dyDescent="0.25">
      <c r="A52" t="s">
        <v>392</v>
      </c>
      <c r="B52" t="s">
        <v>534</v>
      </c>
    </row>
    <row r="53" spans="1:2" x14ac:dyDescent="0.25">
      <c r="A53" t="s">
        <v>434</v>
      </c>
      <c r="B53" t="s">
        <v>535</v>
      </c>
    </row>
    <row r="54" spans="1:2" x14ac:dyDescent="0.25">
      <c r="A54" t="s">
        <v>321</v>
      </c>
      <c r="B54" t="s">
        <v>536</v>
      </c>
    </row>
    <row r="55" spans="1:2" x14ac:dyDescent="0.25">
      <c r="A55" t="s">
        <v>433</v>
      </c>
      <c r="B55" t="s">
        <v>537</v>
      </c>
    </row>
    <row r="56" spans="1:2" x14ac:dyDescent="0.25">
      <c r="A56" t="s">
        <v>456</v>
      </c>
      <c r="B56" t="s">
        <v>538</v>
      </c>
    </row>
    <row r="57" spans="1:2" x14ac:dyDescent="0.25">
      <c r="A57" t="s">
        <v>265</v>
      </c>
      <c r="B57" t="s">
        <v>539</v>
      </c>
    </row>
    <row r="58" spans="1:2" x14ac:dyDescent="0.25">
      <c r="A58" t="s">
        <v>252</v>
      </c>
      <c r="B58" t="s">
        <v>540</v>
      </c>
    </row>
    <row r="59" spans="1:2" x14ac:dyDescent="0.25">
      <c r="A59" t="s">
        <v>420</v>
      </c>
      <c r="B59" t="s">
        <v>541</v>
      </c>
    </row>
    <row r="60" spans="1:2" x14ac:dyDescent="0.25">
      <c r="A60" t="s">
        <v>351</v>
      </c>
      <c r="B60" t="s">
        <v>542</v>
      </c>
    </row>
    <row r="61" spans="1:2" x14ac:dyDescent="0.25">
      <c r="A61" t="s">
        <v>326</v>
      </c>
      <c r="B61" t="s">
        <v>543</v>
      </c>
    </row>
    <row r="62" spans="1:2" x14ac:dyDescent="0.25">
      <c r="A62" t="s">
        <v>444</v>
      </c>
      <c r="B62" t="s">
        <v>544</v>
      </c>
    </row>
    <row r="63" spans="1:2" x14ac:dyDescent="0.25">
      <c r="A63" t="s">
        <v>327</v>
      </c>
      <c r="B63" t="s">
        <v>545</v>
      </c>
    </row>
    <row r="64" spans="1:2" x14ac:dyDescent="0.25">
      <c r="A64" t="s">
        <v>312</v>
      </c>
      <c r="B64" t="s">
        <v>546</v>
      </c>
    </row>
    <row r="65" spans="1:2" x14ac:dyDescent="0.25">
      <c r="A65" t="s">
        <v>255</v>
      </c>
      <c r="B65" t="s">
        <v>547</v>
      </c>
    </row>
    <row r="66" spans="1:2" x14ac:dyDescent="0.25">
      <c r="A66" t="s">
        <v>335</v>
      </c>
      <c r="B66" t="s">
        <v>548</v>
      </c>
    </row>
    <row r="67" spans="1:2" x14ac:dyDescent="0.25">
      <c r="A67" t="s">
        <v>442</v>
      </c>
      <c r="B67" t="s">
        <v>549</v>
      </c>
    </row>
    <row r="68" spans="1:2" x14ac:dyDescent="0.25">
      <c r="A68" t="s">
        <v>303</v>
      </c>
      <c r="B68" t="s">
        <v>550</v>
      </c>
    </row>
    <row r="69" spans="1:2" x14ac:dyDescent="0.25">
      <c r="A69" t="s">
        <v>319</v>
      </c>
      <c r="B69" t="s">
        <v>551</v>
      </c>
    </row>
    <row r="70" spans="1:2" x14ac:dyDescent="0.25">
      <c r="A70" t="s">
        <v>302</v>
      </c>
      <c r="B70" t="s">
        <v>552</v>
      </c>
    </row>
    <row r="71" spans="1:2" x14ac:dyDescent="0.25">
      <c r="A71" t="s">
        <v>357</v>
      </c>
      <c r="B71" t="s">
        <v>553</v>
      </c>
    </row>
    <row r="72" spans="1:2" x14ac:dyDescent="0.25">
      <c r="A72" t="s">
        <v>254</v>
      </c>
      <c r="B72" t="s">
        <v>554</v>
      </c>
    </row>
    <row r="73" spans="1:2" x14ac:dyDescent="0.25">
      <c r="A73" t="s">
        <v>292</v>
      </c>
      <c r="B73" t="s">
        <v>555</v>
      </c>
    </row>
    <row r="74" spans="1:2" x14ac:dyDescent="0.25">
      <c r="A74" t="s">
        <v>443</v>
      </c>
      <c r="B74" t="s">
        <v>556</v>
      </c>
    </row>
    <row r="75" spans="1:2" x14ac:dyDescent="0.25">
      <c r="A75" t="s">
        <v>279</v>
      </c>
      <c r="B75" t="s">
        <v>557</v>
      </c>
    </row>
    <row r="76" spans="1:2" x14ac:dyDescent="0.25">
      <c r="A76" t="s">
        <v>436</v>
      </c>
      <c r="B76" t="s">
        <v>558</v>
      </c>
    </row>
    <row r="77" spans="1:2" x14ac:dyDescent="0.25">
      <c r="A77" t="s">
        <v>428</v>
      </c>
      <c r="B77" t="s">
        <v>559</v>
      </c>
    </row>
    <row r="78" spans="1:2" x14ac:dyDescent="0.25">
      <c r="A78" t="s">
        <v>361</v>
      </c>
      <c r="B78" t="s">
        <v>560</v>
      </c>
    </row>
    <row r="79" spans="1:2" x14ac:dyDescent="0.25">
      <c r="A79" t="s">
        <v>295</v>
      </c>
      <c r="B79" t="s">
        <v>561</v>
      </c>
    </row>
    <row r="80" spans="1:2" x14ac:dyDescent="0.25">
      <c r="A80" t="s">
        <v>274</v>
      </c>
      <c r="B80" t="s">
        <v>562</v>
      </c>
    </row>
    <row r="81" spans="1:2" x14ac:dyDescent="0.25">
      <c r="A81" t="s">
        <v>389</v>
      </c>
      <c r="B81" t="s">
        <v>563</v>
      </c>
    </row>
    <row r="82" spans="1:2" x14ac:dyDescent="0.25">
      <c r="A82" t="s">
        <v>461</v>
      </c>
      <c r="B82" t="s">
        <v>564</v>
      </c>
    </row>
    <row r="83" spans="1:2" x14ac:dyDescent="0.25">
      <c r="A83" t="s">
        <v>275</v>
      </c>
      <c r="B83" t="s">
        <v>565</v>
      </c>
    </row>
    <row r="84" spans="1:2" x14ac:dyDescent="0.25">
      <c r="A84" t="s">
        <v>390</v>
      </c>
      <c r="B84" t="s">
        <v>566</v>
      </c>
    </row>
    <row r="85" spans="1:2" x14ac:dyDescent="0.25">
      <c r="A85" t="s">
        <v>307</v>
      </c>
      <c r="B85" t="s">
        <v>567</v>
      </c>
    </row>
    <row r="86" spans="1:2" x14ac:dyDescent="0.25">
      <c r="A86" t="s">
        <v>278</v>
      </c>
      <c r="B86" t="s">
        <v>568</v>
      </c>
    </row>
    <row r="87" spans="1:2" x14ac:dyDescent="0.25">
      <c r="A87" t="s">
        <v>412</v>
      </c>
      <c r="B87" t="s">
        <v>569</v>
      </c>
    </row>
    <row r="88" spans="1:2" x14ac:dyDescent="0.25">
      <c r="A88" t="s">
        <v>300</v>
      </c>
      <c r="B88" t="s">
        <v>570</v>
      </c>
    </row>
    <row r="89" spans="1:2" x14ac:dyDescent="0.25">
      <c r="A89" t="s">
        <v>378</v>
      </c>
      <c r="B89" t="s">
        <v>571</v>
      </c>
    </row>
    <row r="90" spans="1:2" x14ac:dyDescent="0.25">
      <c r="A90" t="s">
        <v>415</v>
      </c>
      <c r="B90" t="s">
        <v>572</v>
      </c>
    </row>
    <row r="91" spans="1:2" x14ac:dyDescent="0.25">
      <c r="A91" t="s">
        <v>342</v>
      </c>
      <c r="B91" t="s">
        <v>573</v>
      </c>
    </row>
    <row r="92" spans="1:2" x14ac:dyDescent="0.25">
      <c r="A92" t="s">
        <v>439</v>
      </c>
      <c r="B92" t="s">
        <v>574</v>
      </c>
    </row>
    <row r="93" spans="1:2" x14ac:dyDescent="0.25">
      <c r="A93" t="s">
        <v>359</v>
      </c>
      <c r="B93" t="s">
        <v>575</v>
      </c>
    </row>
    <row r="94" spans="1:2" x14ac:dyDescent="0.25">
      <c r="A94" t="s">
        <v>332</v>
      </c>
      <c r="B94" t="s">
        <v>576</v>
      </c>
    </row>
    <row r="95" spans="1:2" x14ac:dyDescent="0.25">
      <c r="A95" t="s">
        <v>418</v>
      </c>
      <c r="B95" t="s">
        <v>577</v>
      </c>
    </row>
    <row r="96" spans="1:2" x14ac:dyDescent="0.25">
      <c r="A96" t="s">
        <v>401</v>
      </c>
      <c r="B96" t="s">
        <v>578</v>
      </c>
    </row>
    <row r="97" spans="1:2" x14ac:dyDescent="0.25">
      <c r="A97" t="s">
        <v>273</v>
      </c>
      <c r="B97" t="s">
        <v>579</v>
      </c>
    </row>
    <row r="98" spans="1:2" x14ac:dyDescent="0.25">
      <c r="A98" t="s">
        <v>386</v>
      </c>
      <c r="B98" t="s">
        <v>580</v>
      </c>
    </row>
    <row r="99" spans="1:2" x14ac:dyDescent="0.25">
      <c r="A99" t="s">
        <v>308</v>
      </c>
      <c r="B99" t="s">
        <v>581</v>
      </c>
    </row>
    <row r="100" spans="1:2" x14ac:dyDescent="0.25">
      <c r="A100" t="s">
        <v>385</v>
      </c>
      <c r="B100" t="s">
        <v>582</v>
      </c>
    </row>
    <row r="101" spans="1:2" x14ac:dyDescent="0.25">
      <c r="A101" t="s">
        <v>408</v>
      </c>
      <c r="B101" t="s">
        <v>583</v>
      </c>
    </row>
    <row r="102" spans="1:2" x14ac:dyDescent="0.25">
      <c r="A102" t="s">
        <v>347</v>
      </c>
      <c r="B102" t="s">
        <v>584</v>
      </c>
    </row>
    <row r="103" spans="1:2" x14ac:dyDescent="0.25">
      <c r="A103" t="s">
        <v>414</v>
      </c>
      <c r="B103" t="s">
        <v>585</v>
      </c>
    </row>
    <row r="104" spans="1:2" x14ac:dyDescent="0.25">
      <c r="A104" t="s">
        <v>348</v>
      </c>
      <c r="B104" t="s">
        <v>586</v>
      </c>
    </row>
    <row r="105" spans="1:2" x14ac:dyDescent="0.25">
      <c r="A105" t="s">
        <v>345</v>
      </c>
      <c r="B105" t="s">
        <v>587</v>
      </c>
    </row>
    <row r="106" spans="1:2" x14ac:dyDescent="0.25">
      <c r="A106" t="s">
        <v>371</v>
      </c>
      <c r="B106" t="s">
        <v>588</v>
      </c>
    </row>
    <row r="107" spans="1:2" x14ac:dyDescent="0.25">
      <c r="A107" t="s">
        <v>263</v>
      </c>
      <c r="B107" t="s">
        <v>589</v>
      </c>
    </row>
    <row r="108" spans="1:2" x14ac:dyDescent="0.25">
      <c r="A108" t="s">
        <v>249</v>
      </c>
      <c r="B108" t="s">
        <v>590</v>
      </c>
    </row>
    <row r="109" spans="1:2" x14ac:dyDescent="0.25">
      <c r="A109" t="s">
        <v>259</v>
      </c>
      <c r="B109" t="s">
        <v>591</v>
      </c>
    </row>
    <row r="110" spans="1:2" x14ac:dyDescent="0.25">
      <c r="A110" t="s">
        <v>437</v>
      </c>
      <c r="B110" t="s">
        <v>592</v>
      </c>
    </row>
    <row r="111" spans="1:2" x14ac:dyDescent="0.25">
      <c r="A111" t="s">
        <v>400</v>
      </c>
      <c r="B111" t="s">
        <v>593</v>
      </c>
    </row>
    <row r="112" spans="1:2" x14ac:dyDescent="0.25">
      <c r="A112" t="s">
        <v>251</v>
      </c>
      <c r="B112" t="s">
        <v>594</v>
      </c>
    </row>
    <row r="113" spans="1:2" x14ac:dyDescent="0.25">
      <c r="A113" t="s">
        <v>325</v>
      </c>
      <c r="B113" t="s">
        <v>595</v>
      </c>
    </row>
    <row r="114" spans="1:2" x14ac:dyDescent="0.25">
      <c r="A114" t="s">
        <v>355</v>
      </c>
      <c r="B114" t="s">
        <v>596</v>
      </c>
    </row>
    <row r="115" spans="1:2" x14ac:dyDescent="0.25">
      <c r="A115" t="s">
        <v>269</v>
      </c>
      <c r="B115" t="s">
        <v>597</v>
      </c>
    </row>
    <row r="116" spans="1:2" x14ac:dyDescent="0.25">
      <c r="A116" t="s">
        <v>315</v>
      </c>
      <c r="B116" t="s">
        <v>598</v>
      </c>
    </row>
    <row r="117" spans="1:2" x14ac:dyDescent="0.25">
      <c r="A117" t="s">
        <v>291</v>
      </c>
      <c r="B117" t="s">
        <v>599</v>
      </c>
    </row>
    <row r="118" spans="1:2" x14ac:dyDescent="0.25">
      <c r="A118" t="s">
        <v>362</v>
      </c>
      <c r="B118" t="s">
        <v>600</v>
      </c>
    </row>
    <row r="119" spans="1:2" x14ac:dyDescent="0.25">
      <c r="A119" t="s">
        <v>346</v>
      </c>
      <c r="B119" t="s">
        <v>601</v>
      </c>
    </row>
    <row r="120" spans="1:2" x14ac:dyDescent="0.25">
      <c r="A120" t="s">
        <v>396</v>
      </c>
      <c r="B120" t="s">
        <v>602</v>
      </c>
    </row>
    <row r="121" spans="1:2" x14ac:dyDescent="0.25">
      <c r="A121" t="s">
        <v>277</v>
      </c>
      <c r="B121" t="s">
        <v>603</v>
      </c>
    </row>
    <row r="122" spans="1:2" x14ac:dyDescent="0.25">
      <c r="A122" t="s">
        <v>398</v>
      </c>
      <c r="B122" t="s">
        <v>604</v>
      </c>
    </row>
    <row r="123" spans="1:2" x14ac:dyDescent="0.25">
      <c r="A123" t="s">
        <v>460</v>
      </c>
      <c r="B123" t="s">
        <v>605</v>
      </c>
    </row>
    <row r="124" spans="1:2" x14ac:dyDescent="0.25">
      <c r="A124" t="s">
        <v>349</v>
      </c>
      <c r="B124" t="s">
        <v>606</v>
      </c>
    </row>
    <row r="125" spans="1:2" x14ac:dyDescent="0.25">
      <c r="A125" t="s">
        <v>393</v>
      </c>
      <c r="B125" t="s">
        <v>607</v>
      </c>
    </row>
    <row r="126" spans="1:2" x14ac:dyDescent="0.25">
      <c r="A126" t="s">
        <v>344</v>
      </c>
      <c r="B126" t="s">
        <v>608</v>
      </c>
    </row>
    <row r="127" spans="1:2" x14ac:dyDescent="0.25">
      <c r="A127" t="s">
        <v>305</v>
      </c>
      <c r="B127" t="s">
        <v>609</v>
      </c>
    </row>
    <row r="128" spans="1:2" x14ac:dyDescent="0.25">
      <c r="A128" t="s">
        <v>343</v>
      </c>
      <c r="B128" t="s">
        <v>610</v>
      </c>
    </row>
    <row r="129" spans="1:2" x14ac:dyDescent="0.25">
      <c r="A129" t="s">
        <v>293</v>
      </c>
      <c r="B129" t="s">
        <v>611</v>
      </c>
    </row>
    <row r="130" spans="1:2" x14ac:dyDescent="0.25">
      <c r="A130" t="s">
        <v>452</v>
      </c>
      <c r="B130" t="s">
        <v>612</v>
      </c>
    </row>
    <row r="131" spans="1:2" x14ac:dyDescent="0.25">
      <c r="A131" t="s">
        <v>451</v>
      </c>
      <c r="B131" t="s">
        <v>613</v>
      </c>
    </row>
    <row r="132" spans="1:2" x14ac:dyDescent="0.25">
      <c r="A132" t="s">
        <v>306</v>
      </c>
      <c r="B132" t="s">
        <v>614</v>
      </c>
    </row>
    <row r="133" spans="1:2" x14ac:dyDescent="0.25">
      <c r="A133" t="s">
        <v>289</v>
      </c>
      <c r="B133" t="s">
        <v>615</v>
      </c>
    </row>
    <row r="134" spans="1:2" x14ac:dyDescent="0.25">
      <c r="A134" t="s">
        <v>411</v>
      </c>
      <c r="B134" t="s">
        <v>616</v>
      </c>
    </row>
    <row r="135" spans="1:2" x14ac:dyDescent="0.25">
      <c r="A135" t="s">
        <v>431</v>
      </c>
      <c r="B135" t="s">
        <v>617</v>
      </c>
    </row>
    <row r="136" spans="1:2" x14ac:dyDescent="0.25">
      <c r="A136" t="s">
        <v>341</v>
      </c>
      <c r="B136" t="s">
        <v>618</v>
      </c>
    </row>
    <row r="137" spans="1:2" x14ac:dyDescent="0.25">
      <c r="A137" t="s">
        <v>250</v>
      </c>
      <c r="B137" t="s">
        <v>619</v>
      </c>
    </row>
    <row r="138" spans="1:2" x14ac:dyDescent="0.25">
      <c r="A138" t="s">
        <v>324</v>
      </c>
      <c r="B138" t="s">
        <v>620</v>
      </c>
    </row>
    <row r="139" spans="1:2" x14ac:dyDescent="0.25">
      <c r="A139" t="s">
        <v>419</v>
      </c>
      <c r="B139" t="s">
        <v>621</v>
      </c>
    </row>
    <row r="140" spans="1:2" x14ac:dyDescent="0.25">
      <c r="A140" t="s">
        <v>358</v>
      </c>
      <c r="B140" t="s">
        <v>622</v>
      </c>
    </row>
    <row r="141" spans="1:2" x14ac:dyDescent="0.25">
      <c r="A141" t="s">
        <v>316</v>
      </c>
      <c r="B141" t="s">
        <v>623</v>
      </c>
    </row>
    <row r="142" spans="1:2" x14ac:dyDescent="0.25">
      <c r="A142" t="s">
        <v>294</v>
      </c>
      <c r="B142" t="s">
        <v>624</v>
      </c>
    </row>
    <row r="143" spans="1:2" x14ac:dyDescent="0.25">
      <c r="A143" t="s">
        <v>399</v>
      </c>
      <c r="B143" t="s">
        <v>625</v>
      </c>
    </row>
    <row r="144" spans="1:2" x14ac:dyDescent="0.25">
      <c r="A144" t="s">
        <v>409</v>
      </c>
      <c r="B144" t="s">
        <v>626</v>
      </c>
    </row>
    <row r="145" spans="1:2" x14ac:dyDescent="0.25">
      <c r="A145" t="s">
        <v>387</v>
      </c>
      <c r="B145" t="s">
        <v>627</v>
      </c>
    </row>
    <row r="146" spans="1:2" x14ac:dyDescent="0.25">
      <c r="A146" t="s">
        <v>304</v>
      </c>
      <c r="B146" t="s">
        <v>628</v>
      </c>
    </row>
    <row r="147" spans="1:2" x14ac:dyDescent="0.25">
      <c r="A147" t="s">
        <v>364</v>
      </c>
      <c r="B147" t="s">
        <v>629</v>
      </c>
    </row>
    <row r="148" spans="1:2" x14ac:dyDescent="0.25">
      <c r="A148" t="s">
        <v>287</v>
      </c>
      <c r="B148" t="s">
        <v>630</v>
      </c>
    </row>
    <row r="149" spans="1:2" x14ac:dyDescent="0.25">
      <c r="A149" t="s">
        <v>281</v>
      </c>
      <c r="B149" t="s">
        <v>631</v>
      </c>
    </row>
    <row r="150" spans="1:2" x14ac:dyDescent="0.25">
      <c r="A150" t="s">
        <v>462</v>
      </c>
      <c r="B150" t="s">
        <v>632</v>
      </c>
    </row>
    <row r="151" spans="1:2" x14ac:dyDescent="0.25">
      <c r="A151" t="s">
        <v>467</v>
      </c>
      <c r="B151" t="s">
        <v>633</v>
      </c>
    </row>
    <row r="152" spans="1:2" x14ac:dyDescent="0.25">
      <c r="A152" t="s">
        <v>459</v>
      </c>
      <c r="B152" t="s">
        <v>634</v>
      </c>
    </row>
    <row r="153" spans="1:2" x14ac:dyDescent="0.25">
      <c r="A153" t="s">
        <v>432</v>
      </c>
      <c r="B153" t="s">
        <v>635</v>
      </c>
    </row>
    <row r="154" spans="1:2" x14ac:dyDescent="0.25">
      <c r="A154" t="s">
        <v>413</v>
      </c>
      <c r="B154" t="s">
        <v>636</v>
      </c>
    </row>
    <row r="155" spans="1:2" x14ac:dyDescent="0.25">
      <c r="A155" t="s">
        <v>373</v>
      </c>
      <c r="B155" t="s">
        <v>637</v>
      </c>
    </row>
    <row r="156" spans="1:2" x14ac:dyDescent="0.25">
      <c r="A156" t="s">
        <v>334</v>
      </c>
      <c r="B156" t="s">
        <v>638</v>
      </c>
    </row>
    <row r="157" spans="1:2" x14ac:dyDescent="0.25">
      <c r="A157" t="s">
        <v>317</v>
      </c>
      <c r="B157" t="s">
        <v>639</v>
      </c>
    </row>
    <row r="158" spans="1:2" x14ac:dyDescent="0.25">
      <c r="A158" t="s">
        <v>367</v>
      </c>
      <c r="B158" t="s">
        <v>640</v>
      </c>
    </row>
    <row r="159" spans="1:2" x14ac:dyDescent="0.25">
      <c r="A159" t="s">
        <v>381</v>
      </c>
      <c r="B159" t="s">
        <v>641</v>
      </c>
    </row>
    <row r="160" spans="1:2" x14ac:dyDescent="0.25">
      <c r="A160" t="s">
        <v>272</v>
      </c>
      <c r="B160" t="s">
        <v>642</v>
      </c>
    </row>
    <row r="161" spans="1:2" x14ac:dyDescent="0.25">
      <c r="A161" t="s">
        <v>379</v>
      </c>
      <c r="B161" t="s">
        <v>643</v>
      </c>
    </row>
    <row r="162" spans="1:2" x14ac:dyDescent="0.25">
      <c r="A162" t="s">
        <v>382</v>
      </c>
      <c r="B162" t="s">
        <v>644</v>
      </c>
    </row>
    <row r="163" spans="1:2" x14ac:dyDescent="0.25">
      <c r="A163" t="s">
        <v>463</v>
      </c>
      <c r="B163" t="s">
        <v>645</v>
      </c>
    </row>
    <row r="164" spans="1:2" x14ac:dyDescent="0.25">
      <c r="A164" t="s">
        <v>405</v>
      </c>
      <c r="B164" t="s">
        <v>646</v>
      </c>
    </row>
    <row r="165" spans="1:2" x14ac:dyDescent="0.25">
      <c r="A165" t="s">
        <v>266</v>
      </c>
      <c r="B165" t="s">
        <v>647</v>
      </c>
    </row>
    <row r="166" spans="1:2" x14ac:dyDescent="0.25">
      <c r="A166" t="s">
        <v>299</v>
      </c>
      <c r="B166" t="s">
        <v>648</v>
      </c>
    </row>
    <row r="167" spans="1:2" x14ac:dyDescent="0.25">
      <c r="A167" t="s">
        <v>449</v>
      </c>
      <c r="B167" t="s">
        <v>649</v>
      </c>
    </row>
    <row r="168" spans="1:2" x14ac:dyDescent="0.25">
      <c r="A168" t="s">
        <v>253</v>
      </c>
      <c r="B168" t="s">
        <v>650</v>
      </c>
    </row>
    <row r="169" spans="1:2" x14ac:dyDescent="0.25">
      <c r="A169" t="s">
        <v>340</v>
      </c>
      <c r="B169" t="s">
        <v>651</v>
      </c>
    </row>
    <row r="170" spans="1:2" x14ac:dyDescent="0.25">
      <c r="A170" t="s">
        <v>403</v>
      </c>
      <c r="B170" t="s">
        <v>652</v>
      </c>
    </row>
    <row r="171" spans="1:2" x14ac:dyDescent="0.25">
      <c r="A171" t="s">
        <v>445</v>
      </c>
      <c r="B171" t="s">
        <v>653</v>
      </c>
    </row>
    <row r="172" spans="1:2" x14ac:dyDescent="0.25">
      <c r="A172" t="s">
        <v>356</v>
      </c>
      <c r="B172" t="s">
        <v>654</v>
      </c>
    </row>
    <row r="173" spans="1:2" x14ac:dyDescent="0.25">
      <c r="A173" t="s">
        <v>352</v>
      </c>
      <c r="B173" t="s">
        <v>655</v>
      </c>
    </row>
    <row r="174" spans="1:2" x14ac:dyDescent="0.25">
      <c r="A174" t="s">
        <v>270</v>
      </c>
      <c r="B174" t="s">
        <v>656</v>
      </c>
    </row>
    <row r="175" spans="1:2" x14ac:dyDescent="0.25">
      <c r="A175" t="s">
        <v>329</v>
      </c>
      <c r="B175" t="s">
        <v>657</v>
      </c>
    </row>
    <row r="176" spans="1:2" x14ac:dyDescent="0.25">
      <c r="A176" t="s">
        <v>450</v>
      </c>
      <c r="B176" t="s">
        <v>658</v>
      </c>
    </row>
    <row r="177" spans="1:2" x14ac:dyDescent="0.25">
      <c r="A177" t="s">
        <v>366</v>
      </c>
      <c r="B177" t="s">
        <v>659</v>
      </c>
    </row>
    <row r="178" spans="1:2" x14ac:dyDescent="0.25">
      <c r="A178" t="s">
        <v>369</v>
      </c>
      <c r="B178" t="s">
        <v>660</v>
      </c>
    </row>
    <row r="179" spans="1:2" x14ac:dyDescent="0.25">
      <c r="A179" t="s">
        <v>404</v>
      </c>
      <c r="B179" t="s">
        <v>661</v>
      </c>
    </row>
    <row r="180" spans="1:2" x14ac:dyDescent="0.25">
      <c r="A180" t="s">
        <v>407</v>
      </c>
      <c r="B180" t="s">
        <v>662</v>
      </c>
    </row>
    <row r="181" spans="1:2" x14ac:dyDescent="0.25">
      <c r="A181" t="s">
        <v>339</v>
      </c>
      <c r="B181" t="s">
        <v>663</v>
      </c>
    </row>
    <row r="182" spans="1:2" x14ac:dyDescent="0.25">
      <c r="A182" t="s">
        <v>429</v>
      </c>
      <c r="B182" t="s">
        <v>664</v>
      </c>
    </row>
    <row r="183" spans="1:2" x14ac:dyDescent="0.25">
      <c r="A183" t="s">
        <v>310</v>
      </c>
      <c r="B183" t="s">
        <v>665</v>
      </c>
    </row>
    <row r="184" spans="1:2" x14ac:dyDescent="0.25">
      <c r="A184" t="s">
        <v>290</v>
      </c>
      <c r="B184" t="s">
        <v>666</v>
      </c>
    </row>
    <row r="185" spans="1:2" x14ac:dyDescent="0.25">
      <c r="A185" t="s">
        <v>376</v>
      </c>
      <c r="B185" t="s">
        <v>667</v>
      </c>
    </row>
    <row r="186" spans="1:2" x14ac:dyDescent="0.25">
      <c r="A186" t="s">
        <v>446</v>
      </c>
      <c r="B186" t="s">
        <v>668</v>
      </c>
    </row>
    <row r="187" spans="1:2" x14ac:dyDescent="0.25">
      <c r="A187" t="s">
        <v>438</v>
      </c>
      <c r="B187" t="s">
        <v>669</v>
      </c>
    </row>
    <row r="188" spans="1:2" x14ac:dyDescent="0.25">
      <c r="A188" t="s">
        <v>422</v>
      </c>
      <c r="B188" t="s">
        <v>670</v>
      </c>
    </row>
    <row r="189" spans="1:2" x14ac:dyDescent="0.25">
      <c r="A189" t="s">
        <v>331</v>
      </c>
      <c r="B189" t="s">
        <v>671</v>
      </c>
    </row>
    <row r="190" spans="1:2" x14ac:dyDescent="0.25">
      <c r="A190" t="s">
        <v>284</v>
      </c>
      <c r="B190" t="s">
        <v>672</v>
      </c>
    </row>
    <row r="191" spans="1:2" x14ac:dyDescent="0.25">
      <c r="A191" t="s">
        <v>458</v>
      </c>
      <c r="B191" t="s">
        <v>673</v>
      </c>
    </row>
    <row r="192" spans="1:2" x14ac:dyDescent="0.25">
      <c r="A192" t="s">
        <v>301</v>
      </c>
      <c r="B192" t="s">
        <v>674</v>
      </c>
    </row>
    <row r="193" spans="1:2" x14ac:dyDescent="0.25">
      <c r="A193" t="s">
        <v>423</v>
      </c>
      <c r="B193" t="s">
        <v>675</v>
      </c>
    </row>
    <row r="194" spans="1:2" x14ac:dyDescent="0.25">
      <c r="A194" t="s">
        <v>350</v>
      </c>
      <c r="B194" t="s">
        <v>676</v>
      </c>
    </row>
    <row r="195" spans="1:2" x14ac:dyDescent="0.25">
      <c r="A195" t="s">
        <v>276</v>
      </c>
      <c r="B195" t="s">
        <v>677</v>
      </c>
    </row>
    <row r="196" spans="1:2" x14ac:dyDescent="0.25">
      <c r="A196" t="s">
        <v>406</v>
      </c>
      <c r="B196" t="s">
        <v>678</v>
      </c>
    </row>
    <row r="197" spans="1:2" x14ac:dyDescent="0.25">
      <c r="A197" t="s">
        <v>377</v>
      </c>
      <c r="B197" t="s">
        <v>679</v>
      </c>
    </row>
    <row r="198" spans="1:2" x14ac:dyDescent="0.25">
      <c r="A198" t="s">
        <v>298</v>
      </c>
      <c r="B198" t="s">
        <v>680</v>
      </c>
    </row>
    <row r="199" spans="1:2" x14ac:dyDescent="0.25">
      <c r="A199" t="s">
        <v>256</v>
      </c>
      <c r="B199" t="s">
        <v>681</v>
      </c>
    </row>
    <row r="200" spans="1:2" x14ac:dyDescent="0.25">
      <c r="A200" t="s">
        <v>248</v>
      </c>
      <c r="B200" t="s">
        <v>682</v>
      </c>
    </row>
    <row r="201" spans="1:2" x14ac:dyDescent="0.25">
      <c r="A201" t="s">
        <v>258</v>
      </c>
      <c r="B201" t="s">
        <v>683</v>
      </c>
    </row>
    <row r="202" spans="1:2" x14ac:dyDescent="0.25">
      <c r="A202" t="s">
        <v>285</v>
      </c>
      <c r="B202" t="s">
        <v>684</v>
      </c>
    </row>
    <row r="203" spans="1:2" x14ac:dyDescent="0.25">
      <c r="A203" t="s">
        <v>286</v>
      </c>
      <c r="B203" t="s">
        <v>685</v>
      </c>
    </row>
    <row r="204" spans="1:2" x14ac:dyDescent="0.25">
      <c r="A204" t="s">
        <v>282</v>
      </c>
      <c r="B204" t="s">
        <v>686</v>
      </c>
    </row>
    <row r="205" spans="1:2" x14ac:dyDescent="0.25">
      <c r="A205" t="s">
        <v>320</v>
      </c>
      <c r="B205" t="s">
        <v>687</v>
      </c>
    </row>
    <row r="206" spans="1:2" x14ac:dyDescent="0.25">
      <c r="A206" t="s">
        <v>363</v>
      </c>
      <c r="B206" t="s">
        <v>688</v>
      </c>
    </row>
    <row r="207" spans="1:2" x14ac:dyDescent="0.25">
      <c r="A207" t="s">
        <v>447</v>
      </c>
      <c r="B207" t="s">
        <v>689</v>
      </c>
    </row>
    <row r="208" spans="1:2" x14ac:dyDescent="0.25">
      <c r="A208" t="s">
        <v>257</v>
      </c>
      <c r="B208" t="s">
        <v>690</v>
      </c>
    </row>
    <row r="209" spans="1:2" x14ac:dyDescent="0.25">
      <c r="A209" s="1" t="s">
        <v>264</v>
      </c>
      <c r="B209" s="1" t="s">
        <v>691</v>
      </c>
    </row>
    <row r="210" spans="1:2" x14ac:dyDescent="0.25">
      <c r="A210" s="1" t="s">
        <v>464</v>
      </c>
      <c r="B210" s="1" t="s">
        <v>691</v>
      </c>
    </row>
    <row r="211" spans="1:2" x14ac:dyDescent="0.25">
      <c r="A211" t="s">
        <v>468</v>
      </c>
      <c r="B211" t="s">
        <v>692</v>
      </c>
    </row>
    <row r="212" spans="1:2" x14ac:dyDescent="0.25">
      <c r="A212" t="s">
        <v>288</v>
      </c>
      <c r="B212" t="s">
        <v>693</v>
      </c>
    </row>
    <row r="213" spans="1:2" x14ac:dyDescent="0.25">
      <c r="A213" t="s">
        <v>333</v>
      </c>
      <c r="B213" t="s">
        <v>694</v>
      </c>
    </row>
    <row r="214" spans="1:2" x14ac:dyDescent="0.25">
      <c r="A214" t="s">
        <v>402</v>
      </c>
      <c r="B214" t="s">
        <v>695</v>
      </c>
    </row>
    <row r="215" spans="1:2" x14ac:dyDescent="0.25">
      <c r="A215" t="s">
        <v>426</v>
      </c>
      <c r="B215" t="s">
        <v>696</v>
      </c>
    </row>
    <row r="216" spans="1:2" x14ac:dyDescent="0.25">
      <c r="A216" t="s">
        <v>441</v>
      </c>
      <c r="B216" t="s">
        <v>697</v>
      </c>
    </row>
    <row r="217" spans="1:2" x14ac:dyDescent="0.25">
      <c r="A217" t="s">
        <v>330</v>
      </c>
      <c r="B217" t="s">
        <v>698</v>
      </c>
    </row>
    <row r="218" spans="1:2" x14ac:dyDescent="0.25">
      <c r="A218" t="s">
        <v>365</v>
      </c>
      <c r="B218" t="s">
        <v>699</v>
      </c>
    </row>
    <row r="219" spans="1:2" x14ac:dyDescent="0.25">
      <c r="A219" t="s">
        <v>383</v>
      </c>
      <c r="B219" t="s">
        <v>700</v>
      </c>
    </row>
    <row r="220" spans="1:2" x14ac:dyDescent="0.25">
      <c r="A220" t="s">
        <v>368</v>
      </c>
      <c r="B220" t="s">
        <v>701</v>
      </c>
    </row>
    <row r="221" spans="1:2" x14ac:dyDescent="0.25">
      <c r="A221" t="s">
        <v>457</v>
      </c>
      <c r="B221" t="s">
        <v>702</v>
      </c>
    </row>
    <row r="222" spans="1:2" x14ac:dyDescent="0.25">
      <c r="A222" t="s">
        <v>453</v>
      </c>
      <c r="B222" t="s">
        <v>703</v>
      </c>
    </row>
    <row r="223" spans="1:2" x14ac:dyDescent="0.25">
      <c r="A223" t="s">
        <v>354</v>
      </c>
      <c r="B223" t="s">
        <v>704</v>
      </c>
    </row>
    <row r="224" spans="1:2" x14ac:dyDescent="0.25">
      <c r="A224" t="s">
        <v>455</v>
      </c>
      <c r="B224" t="s">
        <v>705</v>
      </c>
    </row>
    <row r="225" spans="1:2" x14ac:dyDescent="0.25">
      <c r="A225" t="s">
        <v>297</v>
      </c>
      <c r="B225" t="s">
        <v>706</v>
      </c>
    </row>
    <row r="226" spans="1:2" x14ac:dyDescent="0.25">
      <c r="A226" t="s">
        <v>416</v>
      </c>
      <c r="B226" t="s">
        <v>707</v>
      </c>
    </row>
    <row r="227" spans="1:2" x14ac:dyDescent="0.25">
      <c r="A227" t="s">
        <v>328</v>
      </c>
      <c r="B227" t="s">
        <v>708</v>
      </c>
    </row>
    <row r="228" spans="1:2" x14ac:dyDescent="0.25">
      <c r="A228" t="s">
        <v>394</v>
      </c>
      <c r="B228" t="s">
        <v>709</v>
      </c>
    </row>
    <row r="229" spans="1:2" x14ac:dyDescent="0.25">
      <c r="A229" t="s">
        <v>410</v>
      </c>
      <c r="B229" t="s">
        <v>710</v>
      </c>
    </row>
    <row r="230" spans="1:2" x14ac:dyDescent="0.25">
      <c r="A230" t="s">
        <v>424</v>
      </c>
      <c r="B230" t="s">
        <v>711</v>
      </c>
    </row>
    <row r="231" spans="1:2" x14ac:dyDescent="0.25">
      <c r="A231" t="s">
        <v>283</v>
      </c>
      <c r="B231" t="s">
        <v>712</v>
      </c>
    </row>
    <row r="232" spans="1:2" x14ac:dyDescent="0.25">
      <c r="A232" t="s">
        <v>380</v>
      </c>
      <c r="B232" t="s">
        <v>713</v>
      </c>
    </row>
    <row r="233" spans="1:2" x14ac:dyDescent="0.25">
      <c r="A233" t="s">
        <v>353</v>
      </c>
      <c r="B233" t="s">
        <v>714</v>
      </c>
    </row>
    <row r="234" spans="1:2" x14ac:dyDescent="0.25">
      <c r="A234" t="s">
        <v>395</v>
      </c>
      <c r="B234" t="s">
        <v>715</v>
      </c>
    </row>
    <row r="235" spans="1:2" x14ac:dyDescent="0.25">
      <c r="A235" t="s">
        <v>375</v>
      </c>
      <c r="B235" t="s">
        <v>716</v>
      </c>
    </row>
    <row r="236" spans="1:2" x14ac:dyDescent="0.25">
      <c r="A236" t="s">
        <v>374</v>
      </c>
      <c r="B236" t="s">
        <v>717</v>
      </c>
    </row>
    <row r="237" spans="1:2" x14ac:dyDescent="0.25">
      <c r="A237" t="s">
        <v>471</v>
      </c>
      <c r="B237" t="s">
        <v>718</v>
      </c>
    </row>
    <row r="238" spans="1:2" x14ac:dyDescent="0.25">
      <c r="A238" t="s">
        <v>246</v>
      </c>
      <c r="B238" t="s">
        <v>719</v>
      </c>
    </row>
  </sheetData>
  <autoFilter ref="A1:B238" xr:uid="{82B10707-7276-4254-B2FA-4FEC6CD651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juancho hacker</dc:creator>
  <cp:lastModifiedBy>juancho hacker</cp:lastModifiedBy>
  <dcterms:created xsi:type="dcterms:W3CDTF">2025-12-23T17:16:54Z</dcterms:created>
  <dcterms:modified xsi:type="dcterms:W3CDTF">2026-01-19T16:47:40Z</dcterms:modified>
</cp:coreProperties>
</file>